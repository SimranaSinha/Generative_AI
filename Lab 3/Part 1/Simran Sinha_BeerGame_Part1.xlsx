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ransinha/Documents/Semester 4 /Generative AI/Labs/Lab 3 (Module 4)/Part 1/"/>
    </mc:Choice>
  </mc:AlternateContent>
  <xr:revisionPtr revIDLastSave="0" documentId="13_ncr:1_{EF9E6B4E-D8F7-9B43-87DA-9C266E80DC74}" xr6:coauthVersionLast="47" xr6:coauthVersionMax="47" xr10:uidLastSave="{00000000-0000-0000-0000-000000000000}"/>
  <bookViews>
    <workbookView xWindow="0" yWindow="660" windowWidth="29400" windowHeight="18460" xr2:uid="{83AB07DB-2076-C945-B6C1-C2E4089C38F0}"/>
  </bookViews>
  <sheets>
    <sheet name="Summary" sheetId="9" r:id="rId1"/>
    <sheet name="Prompt 1" sheetId="1" r:id="rId2"/>
    <sheet name="Prompt 2" sheetId="7" r:id="rId3"/>
    <sheet name="Prompt 3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E8" i="9"/>
  <c r="B8" i="9"/>
  <c r="H7" i="9"/>
  <c r="E7" i="9"/>
  <c r="B7" i="9"/>
</calcChain>
</file>

<file path=xl/sharedStrings.xml><?xml version="1.0" encoding="utf-8"?>
<sst xmlns="http://schemas.openxmlformats.org/spreadsheetml/2006/main" count="1095" uniqueCount="103">
  <si>
    <t>Week</t>
  </si>
  <si>
    <t>Role</t>
  </si>
  <si>
    <t>Inventory</t>
  </si>
  <si>
    <t>Incoming Shipping</t>
  </si>
  <si>
    <t>Order Quantity</t>
  </si>
  <si>
    <t>Demand</t>
  </si>
  <si>
    <t>Excess Inventory</t>
  </si>
  <si>
    <t>Backorder</t>
  </si>
  <si>
    <t>Holding Cost</t>
  </si>
  <si>
    <t>Backorder Cost</t>
  </si>
  <si>
    <t>Total Cost</t>
  </si>
  <si>
    <t>username</t>
  </si>
  <si>
    <t>approach</t>
  </si>
  <si>
    <t>Retailer</t>
  </si>
  <si>
    <t>[(5, 1)]</t>
  </si>
  <si>
    <t>Full Gen-AI</t>
  </si>
  <si>
    <t>[(2, 3)]</t>
  </si>
  <si>
    <t>[(3, 4)]</t>
  </si>
  <si>
    <t>[(3, 5)]</t>
  </si>
  <si>
    <t>[(3, 7)]</t>
  </si>
  <si>
    <t>[(3, 8)]</t>
  </si>
  <si>
    <t>[(2, 9)]</t>
  </si>
  <si>
    <t>[(3, 11)]</t>
  </si>
  <si>
    <t>[(10, 2)]</t>
  </si>
  <si>
    <t>[(1, 3)]</t>
  </si>
  <si>
    <t>[(2, 4)]</t>
  </si>
  <si>
    <t>[(2, 6)]</t>
  </si>
  <si>
    <t>[(1, 4)]</t>
  </si>
  <si>
    <t>[(2, 5)]</t>
  </si>
  <si>
    <t>[(2, 8)]</t>
  </si>
  <si>
    <t>[(1, 11)]</t>
  </si>
  <si>
    <t>[(1, 7)]</t>
  </si>
  <si>
    <t>[(3, 10)]</t>
  </si>
  <si>
    <t>[(2, 11)]</t>
  </si>
  <si>
    <t>[(1, 6)]</t>
  </si>
  <si>
    <t>[(2, 7)]</t>
  </si>
  <si>
    <t>Prompt 1</t>
  </si>
  <si>
    <t>Week2</t>
  </si>
  <si>
    <t>Role3</t>
  </si>
  <si>
    <t>[(6, 5)]</t>
  </si>
  <si>
    <t>[(3, 9)]</t>
  </si>
  <si>
    <t>Iteration 2</t>
  </si>
  <si>
    <t>Iteration 3</t>
  </si>
  <si>
    <t>Iteration 1</t>
  </si>
  <si>
    <t>Iteration 4</t>
  </si>
  <si>
    <t>Iteration 5</t>
  </si>
  <si>
    <t>[(1, 5)]</t>
  </si>
  <si>
    <t>[(1, 9)]</t>
  </si>
  <si>
    <t>[(0, 11)]</t>
  </si>
  <si>
    <t>Simran</t>
  </si>
  <si>
    <t>[(20, 2)]</t>
  </si>
  <si>
    <t>[(25, 3)]</t>
  </si>
  <si>
    <t>[(15, 4)]</t>
  </si>
  <si>
    <t>[(20, 5)]</t>
  </si>
  <si>
    <t>[(20, 6)]</t>
  </si>
  <si>
    <t>[(20, 7)]</t>
  </si>
  <si>
    <t>[(20, 8)]</t>
  </si>
  <si>
    <t>[(20, 9)]</t>
  </si>
  <si>
    <t>[(20, 10)]</t>
  </si>
  <si>
    <t>[(20, 11)]</t>
  </si>
  <si>
    <t>[(20, 3)]</t>
  </si>
  <si>
    <t>[(20, 4)]</t>
  </si>
  <si>
    <t>[(25, 2)]</t>
  </si>
  <si>
    <t>[(50, 6)]</t>
  </si>
  <si>
    <t>[(45, 3)]</t>
  </si>
  <si>
    <t>[(15, 7)]</t>
  </si>
  <si>
    <t>[(25, 10)]</t>
  </si>
  <si>
    <t>Prompt 2</t>
  </si>
  <si>
    <t>Prompt 3</t>
  </si>
  <si>
    <t>[(50, 2)]</t>
  </si>
  <si>
    <t>[(50, 3)]</t>
  </si>
  <si>
    <t>[(50, 4)]</t>
  </si>
  <si>
    <t>[(50, 5)]</t>
  </si>
  <si>
    <t>[(50, 8)]</t>
  </si>
  <si>
    <t>[(25, 9)]</t>
  </si>
  <si>
    <t>[(30, 10)]</t>
  </si>
  <si>
    <t>[(50, 11)]</t>
  </si>
  <si>
    <t>[(15, 3)]</t>
  </si>
  <si>
    <t>[(30, 6)]</t>
  </si>
  <si>
    <t>[(50, 7)]</t>
  </si>
  <si>
    <t>[(25, 8)]</t>
  </si>
  <si>
    <t>[(50, 10)]</t>
  </si>
  <si>
    <t>[(30, 5)]</t>
  </si>
  <si>
    <t>[(30, 3)]</t>
  </si>
  <si>
    <t>[(0, 6)]</t>
  </si>
  <si>
    <t>[(0, 7)]</t>
  </si>
  <si>
    <t>[(50, 9)]</t>
  </si>
  <si>
    <t>[(0, 10)]</t>
  </si>
  <si>
    <t>[(10, 9)]</t>
  </si>
  <si>
    <t>[(30, 11)]</t>
  </si>
  <si>
    <t>Run 1</t>
  </si>
  <si>
    <t>Run 2</t>
  </si>
  <si>
    <t>Run 3</t>
  </si>
  <si>
    <t>Run 4</t>
  </si>
  <si>
    <t>Run 5</t>
  </si>
  <si>
    <t>Prompt 1 (Baseline – Full GenAI)</t>
  </si>
  <si>
    <t xml:space="preserve">Experiment 1 </t>
  </si>
  <si>
    <t>Average</t>
  </si>
  <si>
    <t>Standard Deviation</t>
  </si>
  <si>
    <t>Experiment 3</t>
  </si>
  <si>
    <t>Experiment 2</t>
  </si>
  <si>
    <t>Prompt 2 (Cost-Aware Conservative)</t>
  </si>
  <si>
    <t>Prompt 3 (Risk-Constrained Data-Driven)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</si>
</sst>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238"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Comparison of Total Retailer Cost Across Prompting Strategies (5 Iterations)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Prompt 1 (Baseline – Full GenAI)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815</c:v>
                </c:pt>
                <c:pt idx="1">
                  <c:v>590</c:v>
                </c:pt>
                <c:pt idx="2">
                  <c:v>742</c:v>
                </c:pt>
                <c:pt idx="3">
                  <c:v>796</c:v>
                </c:pt>
                <c:pt idx="4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1-6444-82CE-094C3E2EE663}"/>
            </c:ext>
          </c:extLst>
        </c:ser>
        <c:ser>
          <c:idx val="3"/>
          <c:order val="2"/>
          <c:tx>
            <c:strRef>
              <c:f>Summary!$E$1</c:f>
              <c:strCache>
                <c:ptCount val="1"/>
                <c:pt idx="0">
                  <c:v>Prompt 2 (Cost-Aware Conservative)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</c:strCache>
            </c:strRef>
          </c:cat>
          <c:val>
            <c:numRef>
              <c:f>Summary!$E$2:$E$6</c:f>
              <c:numCache>
                <c:formatCode>General</c:formatCode>
                <c:ptCount val="5"/>
                <c:pt idx="0">
                  <c:v>1947</c:v>
                </c:pt>
                <c:pt idx="1">
                  <c:v>1581</c:v>
                </c:pt>
                <c:pt idx="2">
                  <c:v>2308</c:v>
                </c:pt>
                <c:pt idx="3">
                  <c:v>2249</c:v>
                </c:pt>
                <c:pt idx="4">
                  <c:v>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D1-6444-82CE-094C3E2EE663}"/>
            </c:ext>
          </c:extLst>
        </c:ser>
        <c:ser>
          <c:idx val="6"/>
          <c:order val="4"/>
          <c:tx>
            <c:strRef>
              <c:f>Summary!$H$1</c:f>
              <c:strCache>
                <c:ptCount val="1"/>
                <c:pt idx="0">
                  <c:v>Prompt 3 (Risk-Constrained Data-Driven)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5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  <c:pt idx="3">
                  <c:v>Run 4</c:v>
                </c:pt>
                <c:pt idx="4">
                  <c:v>Run 5</c:v>
                </c:pt>
              </c:strCache>
            </c:strRef>
          </c:cat>
          <c:val>
            <c:numRef>
              <c:f>Summary!$H$2:$H$6</c:f>
              <c:numCache>
                <c:formatCode>General</c:formatCode>
                <c:ptCount val="5"/>
                <c:pt idx="0">
                  <c:v>6166</c:v>
                </c:pt>
                <c:pt idx="1">
                  <c:v>3640</c:v>
                </c:pt>
                <c:pt idx="2">
                  <c:v>4265</c:v>
                </c:pt>
                <c:pt idx="3">
                  <c:v>4401</c:v>
                </c:pt>
                <c:pt idx="4">
                  <c:v>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D1-6444-82CE-094C3E2EE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3"/>
        <c:axId val="1292779967"/>
        <c:axId val="12927929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Run 1</c:v>
                      </c:pt>
                      <c:pt idx="1">
                        <c:v>Run 2</c:v>
                      </c:pt>
                      <c:pt idx="2">
                        <c:v>Run 3</c:v>
                      </c:pt>
                      <c:pt idx="3">
                        <c:v>Run 4</c:v>
                      </c:pt>
                      <c:pt idx="4">
                        <c:v>Run 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Summary!$C$2:$C$8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1D1-6444-82CE-094C3E2EE663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Run 1</c:v>
                      </c:pt>
                      <c:pt idx="1">
                        <c:v>Run 2</c:v>
                      </c:pt>
                      <c:pt idx="2">
                        <c:v>Run 3</c:v>
                      </c:pt>
                      <c:pt idx="3">
                        <c:v>Run 4</c:v>
                      </c:pt>
                      <c:pt idx="4">
                        <c:v>Run 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Summary!$F$2:$F$8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1D1-6444-82CE-094C3E2EE663}"/>
                  </c:ext>
                </c:extLst>
              </c15:ser>
            </c15:filteredBarSeries>
          </c:ext>
        </c:extLst>
      </c:barChart>
      <c:catAx>
        <c:axId val="12927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92959"/>
        <c:crosses val="autoZero"/>
        <c:auto val="0"/>
        <c:lblAlgn val="ctr"/>
        <c:lblOffset val="100"/>
        <c:noMultiLvlLbl val="0"/>
      </c:catAx>
      <c:valAx>
        <c:axId val="12927929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999539</xdr:colOff>
      <xdr:row>9</xdr:row>
      <xdr:rowOff>199906</xdr:rowOff>
    </xdr:from>
    <xdr:to>
      <xdr:col>7</xdr:col>
      <xdr:colOff>2540001</xdr:colOff>
      <xdr:row>40</xdr:row>
      <xdr:rowOff>176389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52C0E7-B86B-FD90-2D75-1CABC07B9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590D3-401C-EF4D-9D85-EE2BDEA6A3AD}" name="Table1" displayName="Table1" ref="A4:O15" totalsRowShown="0" headerRowDxfId="237" dataDxfId="236">
  <autoFilter ref="A4:O15" xr:uid="{A41590D3-401C-EF4D-9D85-EE2BDEA6A3AD}"/>
  <tableColumns count="15">
    <tableColumn id="1" xr3:uid="{1C82277E-0C9E-D542-AF57-F8CFD730BF75}" name="Week" dataDxfId="235"/>
    <tableColumn id="2" xr3:uid="{9E2BB683-3682-D845-8A21-A472191B90FC}" name="Role" dataDxfId="234"/>
    <tableColumn id="3" xr3:uid="{28B09CC6-5A1A-B747-9BF5-477E8BDC59E9}" name="Inventory" dataDxfId="233"/>
    <tableColumn id="4" xr3:uid="{AE0134B8-25DC-7642-8DDA-5D43763E1F15}" name="Incoming Shipping" dataDxfId="232"/>
    <tableColumn id="5" xr3:uid="{45BCD9E0-F1DA-944B-8C9D-1A1F1C98621F}" name="Week2" dataDxfId="231"/>
    <tableColumn id="6" xr3:uid="{98DFE793-7169-474D-A523-4D4F791545B8}" name="Role3" dataDxfId="230"/>
    <tableColumn id="7" xr3:uid="{720A52F1-F5BA-164A-9C7F-FF1295C1442F}" name="Order Quantity" dataDxfId="229"/>
    <tableColumn id="8" xr3:uid="{60474B74-64E1-F74D-AFDD-9B03DDE72A57}" name="Demand" dataDxfId="228"/>
    <tableColumn id="9" xr3:uid="{1DE1A412-2E9A-7840-80F4-AAB29C1FE88A}" name="Excess Inventory" dataDxfId="227"/>
    <tableColumn id="10" xr3:uid="{DAFD3A3C-9EBF-1B4A-BA69-772EEF98EC08}" name="Backorder" dataDxfId="226"/>
    <tableColumn id="11" xr3:uid="{5EB0E875-C6F0-A641-85C7-C0CF2804B5B0}" name="Holding Cost" dataDxfId="225"/>
    <tableColumn id="12" xr3:uid="{40B6B29E-6E17-DD4E-8EB3-4A5C6CA558E9}" name="Backorder Cost" dataDxfId="224"/>
    <tableColumn id="13" xr3:uid="{FE985ED6-C806-884E-82FD-F48D37AF9BFF}" name="Total Cost" dataDxfId="223"/>
    <tableColumn id="14" xr3:uid="{0368F9C9-D6EC-2A42-9996-5DC510A26B97}" name="username" dataDxfId="222"/>
    <tableColumn id="15" xr3:uid="{A375E942-0082-004E-929C-5CB38BF21435}" name="approach" dataDxfId="2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CF258-D2F3-0446-80ED-CA5057B7B3E1}" name="Table2" displayName="Table2" ref="A34:O45" totalsRowShown="0" headerRowDxfId="220" dataDxfId="219">
  <autoFilter ref="A34:O45" xr:uid="{088CF258-D2F3-0446-80ED-CA5057B7B3E1}"/>
  <tableColumns count="15">
    <tableColumn id="1" xr3:uid="{7A5AA480-1281-A747-98E8-B4AB19BF4CDA}" name="Week" dataDxfId="218"/>
    <tableColumn id="2" xr3:uid="{EB4E08FD-BD06-2F40-AC92-936F03EB3D64}" name="Role" dataDxfId="217"/>
    <tableColumn id="3" xr3:uid="{A0D1A680-72CE-764E-BCB9-8238EBF65251}" name="Inventory" dataDxfId="216"/>
    <tableColumn id="4" xr3:uid="{A762E4E8-216C-4C48-91EB-E44B37EF3337}" name="Incoming Shipping" dataDxfId="215"/>
    <tableColumn id="5" xr3:uid="{FA1142B4-7B03-1440-A4ED-80D6A782660A}" name="Week2" dataDxfId="214"/>
    <tableColumn id="6" xr3:uid="{9201984A-F96F-8B49-ACAD-370A79B8FCEC}" name="Role3" dataDxfId="213"/>
    <tableColumn id="7" xr3:uid="{9663496C-6224-BC43-B051-5C91DB12C691}" name="Order Quantity" dataDxfId="212"/>
    <tableColumn id="8" xr3:uid="{C1EB398B-A4EB-B34E-AB48-D07FF5C392AE}" name="Demand" dataDxfId="211"/>
    <tableColumn id="9" xr3:uid="{73CD0FBD-6F19-8448-B7CD-48C3EF6709D8}" name="Excess Inventory" dataDxfId="210"/>
    <tableColumn id="10" xr3:uid="{20C5B75C-0E96-A54B-A221-4C0154A13984}" name="Backorder" dataDxfId="209"/>
    <tableColumn id="11" xr3:uid="{827B7193-8980-5E4E-A230-ADFA4F2C013D}" name="Holding Cost" dataDxfId="208"/>
    <tableColumn id="12" xr3:uid="{7687392C-356A-0B4E-AECF-2856263E3589}" name="Backorder Cost" dataDxfId="207"/>
    <tableColumn id="13" xr3:uid="{2FC191A9-4C18-5448-9843-C45B253FD8BE}" name="Total Cost" dataDxfId="206"/>
    <tableColumn id="14" xr3:uid="{80A93BFC-F7BB-D74A-8FD7-3BC9EA168A83}" name="username" dataDxfId="205"/>
    <tableColumn id="15" xr3:uid="{5C7B5563-B48F-6846-9BB2-06D465AFEB74}" name="approach" dataDxfId="2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F50F5-391F-BE4D-9E11-A63AA4B835E3}" name="Table3" displayName="Table3" ref="A19:O30" totalsRowShown="0" headerRowDxfId="203" dataDxfId="202">
  <autoFilter ref="A19:O30" xr:uid="{6BAF50F5-391F-BE4D-9E11-A63AA4B835E3}"/>
  <tableColumns count="15">
    <tableColumn id="1" xr3:uid="{95125361-68AE-BE44-881F-B8DDADD89363}" name="Week" dataDxfId="201"/>
    <tableColumn id="2" xr3:uid="{CBFD1A62-E663-1843-81D5-D5A31BB19754}" name="Role" dataDxfId="200"/>
    <tableColumn id="3" xr3:uid="{8C57B606-84E8-2140-9E77-F1072797976E}" name="Inventory" dataDxfId="199"/>
    <tableColumn id="4" xr3:uid="{F4DC1598-1A02-DD4D-9308-131C47E36C69}" name="Incoming Shipping" dataDxfId="198"/>
    <tableColumn id="5" xr3:uid="{79F5133F-8B29-8247-96FF-C2246180F1B6}" name="Week2" dataDxfId="197"/>
    <tableColumn id="6" xr3:uid="{381F945F-5EC0-3446-BCCD-6D0028A8A70E}" name="Role3" dataDxfId="196"/>
    <tableColumn id="7" xr3:uid="{2BAFAF4E-9A95-AB42-8B65-36C9E16C936F}" name="Order Quantity" dataDxfId="195"/>
    <tableColumn id="8" xr3:uid="{8B861953-2D5D-064E-B03E-E0DEB03B4857}" name="Demand" dataDxfId="194"/>
    <tableColumn id="9" xr3:uid="{9A19F629-C302-E64F-BD77-ED9C6CBE319B}" name="Excess Inventory" dataDxfId="193"/>
    <tableColumn id="10" xr3:uid="{9C25490B-D4D6-8942-8C7F-FB0BF2E72B0E}" name="Backorder" dataDxfId="192"/>
    <tableColumn id="11" xr3:uid="{2799665C-6929-FE4D-A58C-2FEC19C595DB}" name="Holding Cost" dataDxfId="191"/>
    <tableColumn id="12" xr3:uid="{3CDF0D2A-A67E-9D43-82B2-4F82B13B6E1C}" name="Backorder Cost" dataDxfId="190"/>
    <tableColumn id="13" xr3:uid="{1D9F8780-7090-BE4C-B8ED-F9C5407ABEB8}" name="Total Cost" dataDxfId="189"/>
    <tableColumn id="14" xr3:uid="{3A8F2CC6-A45E-534E-A96E-722046F94F36}" name="username" dataDxfId="188"/>
    <tableColumn id="15" xr3:uid="{25E7A4AC-F46C-FD49-AA5E-3687C35A8F57}" name="approach" dataDxfId="18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83C1E-EEDB-3B40-BAB7-00FDD404C867}" name="Table4" displayName="Table4" ref="A48:O59" totalsRowShown="0" headerRowDxfId="186" dataDxfId="185">
  <autoFilter ref="A48:O59" xr:uid="{5CC83C1E-EEDB-3B40-BAB7-00FDD404C867}"/>
  <tableColumns count="15">
    <tableColumn id="1" xr3:uid="{356D3752-E41E-BC4F-B5DF-927798DC8F90}" name="Week" dataDxfId="184"/>
    <tableColumn id="2" xr3:uid="{3F70964B-F618-F54C-8FC2-1894A9EAC94C}" name="Role" dataDxfId="183"/>
    <tableColumn id="3" xr3:uid="{07285F32-9083-DA43-84D2-475B06B0C3AF}" name="Inventory" dataDxfId="182"/>
    <tableColumn id="4" xr3:uid="{0613E865-9928-A746-AC3B-DA9DDCBA79CB}" name="Incoming Shipping" dataDxfId="181"/>
    <tableColumn id="5" xr3:uid="{FAA7910E-2687-5044-A9D5-3249078363D0}" name="Week2" dataDxfId="180"/>
    <tableColumn id="6" xr3:uid="{C53E1BF9-9A82-254F-85C9-656A99AB5536}" name="Role3" dataDxfId="179"/>
    <tableColumn id="7" xr3:uid="{5D0CB657-6453-8944-BCF4-6C28BAFF341E}" name="Order Quantity" dataDxfId="178"/>
    <tableColumn id="8" xr3:uid="{7179E911-9B65-C84C-B7B8-0168FA834FE7}" name="Demand" dataDxfId="177"/>
    <tableColumn id="9" xr3:uid="{E2EFD75A-A128-D944-B31D-B49A492BC55B}" name="Excess Inventory" dataDxfId="176"/>
    <tableColumn id="10" xr3:uid="{BBF2BB61-432F-6E40-840C-2C8D6941B83F}" name="Backorder" dataDxfId="175"/>
    <tableColumn id="11" xr3:uid="{2D033707-C71E-1646-B98A-A91ED1E97AF1}" name="Holding Cost" dataDxfId="174"/>
    <tableColumn id="12" xr3:uid="{E78003F8-7C86-F746-9D20-444B27A32C22}" name="Backorder Cost" dataDxfId="173"/>
    <tableColumn id="13" xr3:uid="{AB038C19-A99C-EF45-B0A3-4E149C12BE07}" name="Total Cost" dataDxfId="172"/>
    <tableColumn id="14" xr3:uid="{22A03A6B-F7B7-354D-A511-7E9AEF4D1E4D}" name="username" dataDxfId="171"/>
    <tableColumn id="15" xr3:uid="{30A4AFF8-74DB-E84B-8317-251BF17077AA}" name="approach" dataDxfId="1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E389F2-0CA9-6242-BB25-B0714BBC5C0C}" name="Table5" displayName="Table5" ref="A62:O73" totalsRowShown="0" headerRowDxfId="169" dataDxfId="168">
  <autoFilter ref="A62:O73" xr:uid="{F7E389F2-0CA9-6242-BB25-B0714BBC5C0C}"/>
  <tableColumns count="15">
    <tableColumn id="1" xr3:uid="{E1BA21BE-9F49-4849-840A-D839D8D666B5}" name="Week" dataDxfId="167"/>
    <tableColumn id="2" xr3:uid="{01F58457-2C6E-874E-BE53-CB780D33C9D4}" name="Role" dataDxfId="166"/>
    <tableColumn id="3" xr3:uid="{EA1B3D66-6A0E-C64A-A8B6-F77D97E895AC}" name="Inventory" dataDxfId="165"/>
    <tableColumn id="4" xr3:uid="{90185AD3-B409-1247-B210-37C51AD8A1B5}" name="Incoming Shipping" dataDxfId="164"/>
    <tableColumn id="5" xr3:uid="{20508E30-F5A1-F441-A0DA-83DC40339E00}" name="Week2" dataDxfId="163"/>
    <tableColumn id="6" xr3:uid="{7673B326-5DDF-904F-A308-EA84353A29C7}" name="Role3" dataDxfId="162"/>
    <tableColumn id="7" xr3:uid="{F85C8ADF-DFEF-054D-91EC-93248934D490}" name="Order Quantity" dataDxfId="161"/>
    <tableColumn id="8" xr3:uid="{980C83D3-B309-2340-88E6-FF38D3C6658C}" name="Demand" dataDxfId="160"/>
    <tableColumn id="9" xr3:uid="{56BAA320-9FB4-0048-9CC6-EC1F13E8C537}" name="Excess Inventory" dataDxfId="159"/>
    <tableColumn id="10" xr3:uid="{CC092063-35D3-974D-8B14-EAA685907A28}" name="Backorder" dataDxfId="158"/>
    <tableColumn id="11" xr3:uid="{5B051E9A-D145-124F-BA0E-C9A33E9A8AB4}" name="Holding Cost" dataDxfId="157"/>
    <tableColumn id="12" xr3:uid="{165A62B4-B944-BA45-94D6-DD984ACBC370}" name="Backorder Cost" dataDxfId="156"/>
    <tableColumn id="13" xr3:uid="{F78ACC51-4F3A-2B40-9C88-76A872A363C1}" name="Total Cost" dataDxfId="155"/>
    <tableColumn id="14" xr3:uid="{644D152D-93C5-2D45-934F-6605CC14D54B}" name="username" dataDxfId="154"/>
    <tableColumn id="15" xr3:uid="{44E91902-8B18-684F-A637-13F8F0FB56A4}" name="approach" dataDxfId="1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156B7D-DB2C-5441-AD96-4F1AD06EB73C}" name="Table17" displayName="Table17" ref="A4:O15" totalsRowShown="0" headerRowDxfId="152" dataDxfId="151">
  <autoFilter ref="A4:O15" xr:uid="{A41590D3-401C-EF4D-9D85-EE2BDEA6A3AD}"/>
  <tableColumns count="15">
    <tableColumn id="1" xr3:uid="{9A6F28D0-CA0C-8845-AA56-87E45B5F29A8}" name="Week" dataDxfId="150"/>
    <tableColumn id="2" xr3:uid="{7DDD6B94-93AD-A548-910E-DE14D5313C61}" name="Role" dataDxfId="149"/>
    <tableColumn id="3" xr3:uid="{C8AD5820-3412-F246-8E47-DB751DA062CB}" name="Inventory" dataDxfId="148"/>
    <tableColumn id="4" xr3:uid="{AC939DE0-1BC6-5446-925F-278D7E2C21B4}" name="Incoming Shipping" dataDxfId="147"/>
    <tableColumn id="5" xr3:uid="{3CC69BAE-7364-794D-8338-18D454A07E31}" name="Week2" dataDxfId="146"/>
    <tableColumn id="6" xr3:uid="{5F7E7E36-3C21-6E4C-BFED-A2D4ACF06C94}" name="Role3" dataDxfId="145"/>
    <tableColumn id="7" xr3:uid="{444E4430-AC30-C441-A464-C0ED15F9B088}" name="Order Quantity" dataDxfId="144"/>
    <tableColumn id="8" xr3:uid="{068D828A-5AC3-4443-A27B-E9572074C430}" name="Demand" dataDxfId="143"/>
    <tableColumn id="9" xr3:uid="{F6C7B154-8805-374F-834D-CA8D881F2B79}" name="Excess Inventory" dataDxfId="142"/>
    <tableColumn id="10" xr3:uid="{77133E64-5FDE-7E4B-BE94-AF1FBB67B3FC}" name="Backorder" dataDxfId="141"/>
    <tableColumn id="11" xr3:uid="{5C527F40-8646-EE42-9E9C-35F3650749CB}" name="Holding Cost" dataDxfId="140"/>
    <tableColumn id="12" xr3:uid="{49467B29-9D9E-DA44-BDF0-15555A292175}" name="Backorder Cost" dataDxfId="139"/>
    <tableColumn id="13" xr3:uid="{468B9D6E-8BA8-F141-B457-405E49CD5705}" name="Total Cost" dataDxfId="138"/>
    <tableColumn id="14" xr3:uid="{A9F35902-F012-E743-B9D8-2FA53AAF9645}" name="username" dataDxfId="137"/>
    <tableColumn id="15" xr3:uid="{C37B66F7-ADE8-904F-A11E-606D66E82AD7}" name="approach" dataDxfId="1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C2C920-9CCA-224F-B1B9-B5C583430262}" name="Table28" displayName="Table28" ref="A34:O45" totalsRowShown="0" headerRowDxfId="135" dataDxfId="134">
  <autoFilter ref="A34:O45" xr:uid="{088CF258-D2F3-0446-80ED-CA5057B7B3E1}"/>
  <tableColumns count="15">
    <tableColumn id="1" xr3:uid="{BB6CC4CF-5E28-634F-84A3-CE03ECD09E62}" name="Week" dataDxfId="133"/>
    <tableColumn id="2" xr3:uid="{89AC0026-169D-7149-ADB3-41B6F1CA8EAE}" name="Role" dataDxfId="132"/>
    <tableColumn id="3" xr3:uid="{9CE9364C-692C-F24B-B847-6098AD857F5E}" name="Inventory" dataDxfId="131"/>
    <tableColumn id="4" xr3:uid="{BD360DDB-F3A5-E248-8766-D8C52BAD71E9}" name="Incoming Shipping" dataDxfId="130"/>
    <tableColumn id="5" xr3:uid="{490A0B85-A019-0F4F-AA65-758DAA8E8569}" name="Week2" dataDxfId="129"/>
    <tableColumn id="6" xr3:uid="{F15F256A-E9D2-6840-B9E9-451C557E543D}" name="Role3" dataDxfId="128"/>
    <tableColumn id="7" xr3:uid="{7B7DE4FE-39F6-8C48-BC7D-271507EBE484}" name="Order Quantity" dataDxfId="127"/>
    <tableColumn id="8" xr3:uid="{0396B131-900B-9E43-809D-4BC1028227FF}" name="Demand" dataDxfId="126"/>
    <tableColumn id="9" xr3:uid="{3D6E05C3-857C-074D-86C7-C27B2A29AC01}" name="Excess Inventory" dataDxfId="125"/>
    <tableColumn id="10" xr3:uid="{EAF79351-8906-CF40-AAFA-A6225BEF4367}" name="Backorder" dataDxfId="124"/>
    <tableColumn id="11" xr3:uid="{348BF3BD-E229-DC48-BC44-796DD1AC498F}" name="Holding Cost" dataDxfId="123"/>
    <tableColumn id="12" xr3:uid="{48BE86D8-AE1B-F54F-A0D6-182178C27E9A}" name="Backorder Cost" dataDxfId="122"/>
    <tableColumn id="13" xr3:uid="{9A44556D-74D8-0341-B42F-D3AA46E2EA0A}" name="Total Cost" dataDxfId="121"/>
    <tableColumn id="14" xr3:uid="{48386F85-4169-E245-8920-83ACDFC44F40}" name="username" dataDxfId="120"/>
    <tableColumn id="15" xr3:uid="{224F423B-581E-B546-A16E-2F837FEEBE3B}" name="approach" dataDxfId="1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BB2DBB-9D60-0848-9EB2-BEB7F5B43F54}" name="Table39" displayName="Table39" ref="A19:O30" totalsRowShown="0" headerRowDxfId="118" dataDxfId="117">
  <autoFilter ref="A19:O30" xr:uid="{6BAF50F5-391F-BE4D-9E11-A63AA4B835E3}"/>
  <tableColumns count="15">
    <tableColumn id="1" xr3:uid="{11F977CC-34CA-5941-BFAE-022F49579200}" name="Week" dataDxfId="116"/>
    <tableColumn id="2" xr3:uid="{73C60145-B24E-6E4A-A852-847E4534AAC4}" name="Role" dataDxfId="115"/>
    <tableColumn id="3" xr3:uid="{8FA6C03C-3398-F44B-BE2B-62C10759CC76}" name="Inventory" dataDxfId="114"/>
    <tableColumn id="4" xr3:uid="{82BB2DF0-F32F-724D-A3FD-7097599C6942}" name="Incoming Shipping" dataDxfId="113"/>
    <tableColumn id="5" xr3:uid="{2E03253E-D5B0-CF4E-8856-13DAABEBB364}" name="Week2" dataDxfId="112"/>
    <tableColumn id="6" xr3:uid="{897538C7-33E4-474F-B89D-3684087151F4}" name="Role3" dataDxfId="111"/>
    <tableColumn id="7" xr3:uid="{E6DBE1DF-930E-A94C-B447-74007CF359B2}" name="Order Quantity" dataDxfId="110"/>
    <tableColumn id="8" xr3:uid="{2F2C3953-E226-A349-BC82-E43079E71A99}" name="Demand" dataDxfId="109"/>
    <tableColumn id="9" xr3:uid="{C263A311-F571-7146-9133-AA6A14097246}" name="Excess Inventory" dataDxfId="108"/>
    <tableColumn id="10" xr3:uid="{6C685AEC-107C-2141-BA08-F7B4F78CAFBC}" name="Backorder" dataDxfId="107"/>
    <tableColumn id="11" xr3:uid="{6A23FA9B-4ABD-044B-8C64-8882E5383AB2}" name="Holding Cost" dataDxfId="106"/>
    <tableColumn id="12" xr3:uid="{BA5A7203-626D-4843-A769-3777403F29DB}" name="Backorder Cost" dataDxfId="105"/>
    <tableColumn id="13" xr3:uid="{91D5132D-69EA-7F41-AF0E-19B4A381F5F0}" name="Total Cost" dataDxfId="104"/>
    <tableColumn id="14" xr3:uid="{90947476-F7B5-B94B-80BA-39DE9144A87E}" name="username" dataDxfId="103"/>
    <tableColumn id="15" xr3:uid="{AE34B67F-45E7-BF49-B8A1-813276903AD2}" name="approach" dataDxfId="10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F8F422-66AB-8548-B3BE-D904E6E89176}" name="Table410" displayName="Table410" ref="A49:O60" totalsRowShown="0" headerRowDxfId="101" dataDxfId="100">
  <autoFilter ref="A49:O60" xr:uid="{5CC83C1E-EEDB-3B40-BAB7-00FDD404C867}"/>
  <tableColumns count="15">
    <tableColumn id="1" xr3:uid="{DCFD96A5-C698-1047-9327-27846A5C4A2F}" name="Week" dataDxfId="99"/>
    <tableColumn id="2" xr3:uid="{92D83DA3-3705-5D41-9DA0-F797EB69B933}" name="Role" dataDxfId="98"/>
    <tableColumn id="3" xr3:uid="{14D0E01C-9FB5-5948-952C-70D12911AEE7}" name="Inventory" dataDxfId="97"/>
    <tableColumn id="4" xr3:uid="{9C3C71D0-FC1F-5C4D-AB86-766A86D8EE98}" name="Incoming Shipping" dataDxfId="96"/>
    <tableColumn id="5" xr3:uid="{8EDB79C7-1722-F645-8329-A03E6C9B65FA}" name="Week2" dataDxfId="95"/>
    <tableColumn id="6" xr3:uid="{5D290FD7-40A8-5E43-A4FC-ABFAFC8DF503}" name="Role3" dataDxfId="94"/>
    <tableColumn id="7" xr3:uid="{097B020D-EEB0-2945-94E3-11310E5EF572}" name="Order Quantity" dataDxfId="93"/>
    <tableColumn id="8" xr3:uid="{81D0DB2C-AE47-E84F-B9FA-55051A17DE93}" name="Demand" dataDxfId="92"/>
    <tableColumn id="9" xr3:uid="{01905445-4BBF-2748-8C0D-BACF42F97998}" name="Excess Inventory" dataDxfId="91"/>
    <tableColumn id="10" xr3:uid="{959BE1EA-2B40-6648-B7DF-1B77A0EABBCE}" name="Backorder" dataDxfId="90"/>
    <tableColumn id="11" xr3:uid="{8A307AA0-3BB5-244C-B738-A5DA027660D8}" name="Holding Cost" dataDxfId="89"/>
    <tableColumn id="12" xr3:uid="{91F45C5C-BD29-F145-A9D6-74AC1E82B062}" name="Backorder Cost" dataDxfId="88"/>
    <tableColumn id="13" xr3:uid="{A4DEEDCB-5EFF-0047-9292-7C489518981C}" name="Total Cost" dataDxfId="87"/>
    <tableColumn id="14" xr3:uid="{5942C6D9-DEC7-2647-AB22-D5D32A6440DB}" name="username" dataDxfId="86"/>
    <tableColumn id="15" xr3:uid="{66C101E5-CC81-A649-A2AE-F86ECA61133C}" name="approach" dataDxfId="8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BD761B-BADC-9843-B571-A762EE4B797B}" name="Table511" displayName="Table511" ref="A64:O75" totalsRowShown="0" headerRowDxfId="84" dataDxfId="83">
  <autoFilter ref="A64:O75" xr:uid="{F7E389F2-0CA9-6242-BB25-B0714BBC5C0C}"/>
  <tableColumns count="15">
    <tableColumn id="1" xr3:uid="{A540D9DC-B17B-AC40-B9C2-BFAD7817E4E0}" name="Week" dataDxfId="82"/>
    <tableColumn id="2" xr3:uid="{14B7F215-6182-4F42-822C-CB3D6200A4AA}" name="Role" dataDxfId="81"/>
    <tableColumn id="3" xr3:uid="{4B65C226-BCEC-134A-B11B-C43D9AF9E9E8}" name="Inventory" dataDxfId="80"/>
    <tableColumn id="4" xr3:uid="{E0EB000E-B566-C741-8125-EEC1026AD4A6}" name="Incoming Shipping" dataDxfId="79"/>
    <tableColumn id="5" xr3:uid="{6EA147C5-6983-BD4C-B521-A932141B2746}" name="Week2" dataDxfId="78"/>
    <tableColumn id="6" xr3:uid="{FB23F917-66D9-B84A-8EC6-50245A3334B5}" name="Role3" dataDxfId="77"/>
    <tableColumn id="7" xr3:uid="{5306051A-B1F5-9849-959F-3BD3EFECDC4F}" name="Order Quantity" dataDxfId="76"/>
    <tableColumn id="8" xr3:uid="{6D9E7A35-6B20-5B45-BB03-05660165EC9F}" name="Demand" dataDxfId="75"/>
    <tableColumn id="9" xr3:uid="{4555A0A4-3B73-624C-B2AB-0EE975EF4262}" name="Excess Inventory" dataDxfId="74"/>
    <tableColumn id="10" xr3:uid="{62F0FA0C-955F-9641-BE0B-7EA5AA3E7A16}" name="Backorder" dataDxfId="73"/>
    <tableColumn id="11" xr3:uid="{D40361CF-9DAD-DE40-BFF4-7252A77C00EA}" name="Holding Cost" dataDxfId="72"/>
    <tableColumn id="12" xr3:uid="{A9E6D0E3-BA98-0346-8460-D8BCD7B8D396}" name="Backorder Cost" dataDxfId="71"/>
    <tableColumn id="13" xr3:uid="{B16EB329-5FEC-0D4B-95D7-5053763CED89}" name="Total Cost" dataDxfId="70"/>
    <tableColumn id="14" xr3:uid="{254DE450-5D8E-4441-9EB7-B18997B5E137}" name="username" dataDxfId="69"/>
    <tableColumn id="15" xr3:uid="{D00B5377-8F3E-EF49-99F3-B2407ADCDE85}" name="approach" dataDxfId="6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942583-A17F-9447-ADCF-B065E03F6448}" name="Table1712" displayName="Table1712" ref="A4:O15" totalsRowShown="0" headerRowDxfId="67" dataDxfId="66">
  <autoFilter ref="A4:O15" xr:uid="{A41590D3-401C-EF4D-9D85-EE2BDEA6A3AD}"/>
  <tableColumns count="15">
    <tableColumn id="1" xr3:uid="{44E2DCD7-7A91-3548-A555-C2272598C1BA}" name="Week" dataDxfId="65"/>
    <tableColumn id="2" xr3:uid="{BF885086-69CE-9A40-858F-A8508A75646D}" name="Role" dataDxfId="64"/>
    <tableColumn id="3" xr3:uid="{F33A7CA9-23D0-5145-91DC-92995EB5B8FC}" name="Inventory" dataDxfId="63"/>
    <tableColumn id="4" xr3:uid="{DCA00E15-6235-6E4E-8AB5-06B27A6E08D6}" name="Incoming Shipping" dataDxfId="62"/>
    <tableColumn id="5" xr3:uid="{B71A06B7-6667-9147-981E-7F38DB670CF9}" name="Week2" dataDxfId="61"/>
    <tableColumn id="6" xr3:uid="{B400344B-45D6-0248-B312-6C332C1F6470}" name="Role3" dataDxfId="60"/>
    <tableColumn id="7" xr3:uid="{506E1398-E583-E148-93B6-7A45FE0D9C3B}" name="Order Quantity" dataDxfId="59"/>
    <tableColumn id="8" xr3:uid="{FC265B2F-0E34-0345-9985-0A243364ADAC}" name="Demand" dataDxfId="58"/>
    <tableColumn id="9" xr3:uid="{7F5A0AA5-F0B7-174A-8514-FE6B745FCC66}" name="Excess Inventory" dataDxfId="57"/>
    <tableColumn id="10" xr3:uid="{1D6A7ED3-EEBA-FC41-BC51-385FED089F5F}" name="Backorder" dataDxfId="56"/>
    <tableColumn id="11" xr3:uid="{EAB97DCF-1A5F-2940-B558-5F7905802377}" name="Holding Cost" dataDxfId="55"/>
    <tableColumn id="12" xr3:uid="{93307395-2098-6447-B3C1-F14383FAEF79}" name="Backorder Cost" dataDxfId="54"/>
    <tableColumn id="13" xr3:uid="{A9D500CE-6722-9B46-AAA1-897580D36E33}" name="Total Cost" dataDxfId="53"/>
    <tableColumn id="14" xr3:uid="{D6C8E9F4-2CF6-9F44-AEB6-381F4EAF680F}" name="username" dataDxfId="52"/>
    <tableColumn id="15" xr3:uid="{4AB9312C-33D5-534C-A414-5AF180D40214}" name="approach" dataDxfId="5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E3EBBA-348C-2943-AF39-84E9E88F6CB2}" name="Table2813" displayName="Table2813" ref="A34:O45" totalsRowShown="0" headerRowDxfId="50" dataDxfId="49">
  <autoFilter ref="A34:O45" xr:uid="{088CF258-D2F3-0446-80ED-CA5057B7B3E1}"/>
  <tableColumns count="15">
    <tableColumn id="1" xr3:uid="{E491ABC5-2E6B-3F44-9A6B-C0DB592B71DB}" name="Week" dataDxfId="48"/>
    <tableColumn id="2" xr3:uid="{CB31FCA7-23DA-C448-BE2E-CF99613ABD59}" name="Role" dataDxfId="47"/>
    <tableColumn id="3" xr3:uid="{09C3B852-AEC8-1148-B1EF-6B357151D10E}" name="Inventory" dataDxfId="46"/>
    <tableColumn id="4" xr3:uid="{9BD6C804-B44A-4245-8ED0-7DDE6B39C538}" name="Incoming Shipping" dataDxfId="45"/>
    <tableColumn id="5" xr3:uid="{25AB5866-8ADB-F249-A1E0-5A1883015AC3}" name="Week2" dataDxfId="44"/>
    <tableColumn id="6" xr3:uid="{3F7E19A0-3FA7-304E-BCE6-AB67F9D805A7}" name="Role3" dataDxfId="43"/>
    <tableColumn id="7" xr3:uid="{5258CCC8-D3B4-154F-8E90-E189B2BCF96B}" name="Order Quantity" dataDxfId="42"/>
    <tableColumn id="8" xr3:uid="{412E2B7A-9A10-9047-8628-BB218013E17A}" name="Demand" dataDxfId="41"/>
    <tableColumn id="9" xr3:uid="{9FB21FEF-553F-AA4E-9939-B0A329D44853}" name="Excess Inventory" dataDxfId="40"/>
    <tableColumn id="10" xr3:uid="{45227AA3-BCBC-BB4A-BAF2-7E43E615A800}" name="Backorder" dataDxfId="39"/>
    <tableColumn id="11" xr3:uid="{3DF15A45-D277-D841-B4A2-9E74BBEFEA65}" name="Holding Cost" dataDxfId="38"/>
    <tableColumn id="12" xr3:uid="{6539560B-E461-FD41-8C65-A0FD8A2FA68F}" name="Backorder Cost" dataDxfId="37"/>
    <tableColumn id="13" xr3:uid="{0ACF4EED-E96D-A248-B777-0430BD9DA70B}" name="Total Cost" dataDxfId="36"/>
    <tableColumn id="14" xr3:uid="{63FA36E8-04B7-A84E-BC8B-63816551CBF5}" name="username" dataDxfId="35"/>
    <tableColumn id="15" xr3:uid="{9A3C9FEC-A220-0C40-BD67-2D42D04EBF22}" name="approach" dataDxfId="3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7350868-D6E6-C843-87CE-332BCDA7247A}" name="Table3914" displayName="Table3914" ref="A19:O30" totalsRowShown="0">
  <autoFilter ref="A19:O30" xr:uid="{6BAF50F5-391F-BE4D-9E11-A63AA4B835E3}"/>
  <tableColumns count="15">
    <tableColumn id="1" xr3:uid="{F98B56F0-D2A1-224D-BDE1-C7CA4FA259D0}" name="Week"/>
    <tableColumn id="2" xr3:uid="{1536E6D7-15D5-ED4A-A7D7-F84863DADE9E}" name="Role"/>
    <tableColumn id="3" xr3:uid="{B92129B6-3B76-6547-9736-932371D8CCFE}" name="Inventory"/>
    <tableColumn id="4" xr3:uid="{03F37F56-11BF-8048-BA0A-CF1772D79A74}" name="Incoming Shipping"/>
    <tableColumn id="5" xr3:uid="{BAC444B0-C88D-7343-A0C9-B27D7168511E}" name="Week2"/>
    <tableColumn id="6" xr3:uid="{117380F2-1162-1F4E-86FD-BC361FD3455A}" name="Role3"/>
    <tableColumn id="7" xr3:uid="{CE7ADD35-3B64-154D-A78C-75C888FF9C46}" name="Order Quantity"/>
    <tableColumn id="8" xr3:uid="{B8E7AB93-D703-9F4F-9CE7-F0F958D5C13C}" name="Demand"/>
    <tableColumn id="9" xr3:uid="{9CAD8C83-CC90-1744-A224-31429F80C68D}" name="Excess Inventory"/>
    <tableColumn id="10" xr3:uid="{16B8F4BD-E97C-FB48-8E3E-D45B6E1DCA73}" name="Backorder"/>
    <tableColumn id="11" xr3:uid="{ECBC3121-8DE2-1043-B458-968287E3D042}" name="Holding Cost"/>
    <tableColumn id="12" xr3:uid="{C785BAD3-BDB6-3E47-A0BF-3BDC8479B2DA}" name="Backorder Cost"/>
    <tableColumn id="13" xr3:uid="{8B9417D0-53A9-0F47-BD61-BFAD1B3C98F6}" name="Total Cost"/>
    <tableColumn id="14" xr3:uid="{57CF86DE-B88A-5A4A-BACA-3FED149852BA}" name="username"/>
    <tableColumn id="15" xr3:uid="{C4EE80E8-1B44-B74B-AD1C-C3E46818B348}" name="approac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6AD60D-386A-C142-8F2C-69AE456AB23A}" name="Table41015" displayName="Table41015" ref="A49:O60" totalsRowShown="0" headerRowDxfId="33" dataDxfId="32">
  <autoFilter ref="A49:O60" xr:uid="{5CC83C1E-EEDB-3B40-BAB7-00FDD404C867}"/>
  <tableColumns count="15">
    <tableColumn id="1" xr3:uid="{8CAA8721-1C18-FF44-AB91-4BA289F32E44}" name="Week" dataDxfId="31"/>
    <tableColumn id="2" xr3:uid="{C1C56285-F5CD-E842-AB06-5BE47EF59828}" name="Role" dataDxfId="30"/>
    <tableColumn id="3" xr3:uid="{E5AC614E-772B-3740-9949-01D468158CE6}" name="Inventory" dataDxfId="29"/>
    <tableColumn id="4" xr3:uid="{99CCA0ED-161E-2841-BA3A-1995D64FD40C}" name="Incoming Shipping" dataDxfId="28"/>
    <tableColumn id="5" xr3:uid="{8B3F9572-D670-A744-9900-B387E3683074}" name="Week2" dataDxfId="27"/>
    <tableColumn id="6" xr3:uid="{DA6BC6AF-422C-9A40-BDD8-9392CB67C3A0}" name="Role3" dataDxfId="26"/>
    <tableColumn id="7" xr3:uid="{FF5EB330-DEBE-694F-B4F8-BAFD0F59CC41}" name="Order Quantity" dataDxfId="25"/>
    <tableColumn id="8" xr3:uid="{E0DC43A1-47E9-C341-9170-E0CD6927E712}" name="Demand" dataDxfId="24"/>
    <tableColumn id="9" xr3:uid="{447480C1-3977-1B45-836D-6F4865B66B68}" name="Excess Inventory" dataDxfId="23"/>
    <tableColumn id="10" xr3:uid="{247799A6-F0CC-9447-B6F0-1E48690F0C3D}" name="Backorder" dataDxfId="22"/>
    <tableColumn id="11" xr3:uid="{36A5E070-28BB-C845-B31F-3440FCC61DDF}" name="Holding Cost" dataDxfId="21"/>
    <tableColumn id="12" xr3:uid="{28978487-ED93-2A42-A841-2F39B50FAB33}" name="Backorder Cost" dataDxfId="20"/>
    <tableColumn id="13" xr3:uid="{F8118DB5-199D-9449-83E6-CDF7485FF0CA}" name="Total Cost" dataDxfId="19"/>
    <tableColumn id="14" xr3:uid="{76CACD7C-F98F-4F43-9CE4-421D426E7832}" name="username" dataDxfId="18"/>
    <tableColumn id="15" xr3:uid="{F7E45CB2-70E0-B04C-AC77-0D1A433B0DBC}" name="approach" dataDxfId="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CD3559-EA69-314A-BD80-0B8B1A5E1B47}" name="Table51116" displayName="Table51116" ref="A64:O75" totalsRowShown="0" headerRowDxfId="16" dataDxfId="15">
  <autoFilter ref="A64:O75" xr:uid="{F7E389F2-0CA9-6242-BB25-B0714BBC5C0C}"/>
  <tableColumns count="15">
    <tableColumn id="1" xr3:uid="{48B13253-6A71-9641-8323-1541091B805C}" name="Week" dataDxfId="14"/>
    <tableColumn id="2" xr3:uid="{538325E1-43AA-754A-83A0-357C8BFE27B2}" name="Role" dataDxfId="13"/>
    <tableColumn id="3" xr3:uid="{11BB1173-31BA-904A-87FB-5B51BF13A6B2}" name="Inventory" dataDxfId="12"/>
    <tableColumn id="4" xr3:uid="{F153D4AD-F5D4-8444-B5E1-BF4727393D94}" name="Incoming Shipping" dataDxfId="11"/>
    <tableColumn id="5" xr3:uid="{208CA8F0-1394-6045-8745-0317F3537207}" name="Week2" dataDxfId="10"/>
    <tableColumn id="6" xr3:uid="{88B2D490-C6AF-384D-8EDA-567273095275}" name="Role3" dataDxfId="9"/>
    <tableColumn id="7" xr3:uid="{9CDC1180-A7A0-E145-AA1A-A4CDED39AD49}" name="Order Quantity" dataDxfId="8"/>
    <tableColumn id="8" xr3:uid="{4C4C6EB6-A995-BF47-8D1F-2ED51B317538}" name="Demand" dataDxfId="7"/>
    <tableColumn id="9" xr3:uid="{F628066A-3385-8940-949B-8B2F7BD283FA}" name="Excess Inventory" dataDxfId="6"/>
    <tableColumn id="10" xr3:uid="{5F4ADC4E-86EF-E042-B4CE-C062D78468B7}" name="Backorder" dataDxfId="5"/>
    <tableColumn id="11" xr3:uid="{912B8869-4FA2-3240-8126-6D9ECD6DD749}" name="Holding Cost" dataDxfId="4"/>
    <tableColumn id="12" xr3:uid="{A92A5E2A-FB8D-B745-8CD5-F38DC9337655}" name="Backorder Cost" dataDxfId="3"/>
    <tableColumn id="13" xr3:uid="{C6934363-FF67-0240-9AC0-7444D4CA9197}" name="Total Cost" dataDxfId="2"/>
    <tableColumn id="14" xr3:uid="{BA361ED5-8A64-4545-A0F8-DE61CBC8EBA5}" name="username" dataDxfId="1"/>
    <tableColumn id="15" xr3:uid="{ABF6ABA9-63C6-B246-BBC6-7C33357807B0}" name="approa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C6B4-03DE-3445-A7A9-04823226ADD3}">
  <dimension ref="A1:H8"/>
  <sheetViews>
    <sheetView tabSelected="1" topLeftCell="B1" zoomScale="150" workbookViewId="0">
      <selection activeCell="G1" sqref="G1:H8"/>
    </sheetView>
  </sheetViews>
  <sheetFormatPr baseColWidth="10" defaultRowHeight="16" x14ac:dyDescent="0.2"/>
  <cols>
    <col min="1" max="1" width="23.83203125" style="16" customWidth="1"/>
    <col min="2" max="2" width="33.5" customWidth="1"/>
    <col min="3" max="3" width="8" customWidth="1"/>
    <col min="4" max="4" width="18" style="16" customWidth="1"/>
    <col min="5" max="5" width="35.6640625" customWidth="1"/>
    <col min="6" max="6" width="7.1640625" customWidth="1"/>
    <col min="7" max="7" width="17.33203125" style="16" customWidth="1"/>
    <col min="8" max="8" width="43" customWidth="1"/>
  </cols>
  <sheetData>
    <row r="1" spans="1:8" s="13" customFormat="1" ht="19" x14ac:dyDescent="0.2">
      <c r="A1" s="12" t="s">
        <v>96</v>
      </c>
      <c r="B1" s="12" t="s">
        <v>95</v>
      </c>
      <c r="D1" s="12" t="s">
        <v>100</v>
      </c>
      <c r="E1" s="12" t="s">
        <v>101</v>
      </c>
      <c r="G1" s="12" t="s">
        <v>99</v>
      </c>
      <c r="H1" s="12" t="s">
        <v>102</v>
      </c>
    </row>
    <row r="2" spans="1:8" x14ac:dyDescent="0.2">
      <c r="A2" s="14" t="s">
        <v>90</v>
      </c>
      <c r="B2" s="10">
        <v>815</v>
      </c>
      <c r="D2" s="14" t="s">
        <v>90</v>
      </c>
      <c r="E2" s="10">
        <v>1947</v>
      </c>
      <c r="G2" s="14" t="s">
        <v>90</v>
      </c>
      <c r="H2" s="10">
        <v>6166</v>
      </c>
    </row>
    <row r="3" spans="1:8" x14ac:dyDescent="0.2">
      <c r="A3" s="14" t="s">
        <v>91</v>
      </c>
      <c r="B3" s="10">
        <v>590</v>
      </c>
      <c r="D3" s="14" t="s">
        <v>91</v>
      </c>
      <c r="E3" s="10">
        <v>1581</v>
      </c>
      <c r="G3" s="14" t="s">
        <v>91</v>
      </c>
      <c r="H3" s="10">
        <v>3640</v>
      </c>
    </row>
    <row r="4" spans="1:8" x14ac:dyDescent="0.2">
      <c r="A4" s="14" t="s">
        <v>92</v>
      </c>
      <c r="B4" s="10">
        <v>742</v>
      </c>
      <c r="D4" s="14" t="s">
        <v>92</v>
      </c>
      <c r="E4" s="10">
        <v>2308</v>
      </c>
      <c r="G4" s="14" t="s">
        <v>92</v>
      </c>
      <c r="H4" s="10">
        <v>4265</v>
      </c>
    </row>
    <row r="5" spans="1:8" x14ac:dyDescent="0.2">
      <c r="A5" s="14" t="s">
        <v>93</v>
      </c>
      <c r="B5" s="10">
        <v>796</v>
      </c>
      <c r="D5" s="14" t="s">
        <v>93</v>
      </c>
      <c r="E5" s="10">
        <v>2249</v>
      </c>
      <c r="G5" s="14" t="s">
        <v>93</v>
      </c>
      <c r="H5" s="10">
        <v>4401</v>
      </c>
    </row>
    <row r="6" spans="1:8" x14ac:dyDescent="0.2">
      <c r="A6" s="14" t="s">
        <v>94</v>
      </c>
      <c r="B6" s="10">
        <v>772</v>
      </c>
      <c r="D6" s="14" t="s">
        <v>94</v>
      </c>
      <c r="E6" s="10">
        <v>1701</v>
      </c>
      <c r="G6" s="14" t="s">
        <v>94</v>
      </c>
      <c r="H6" s="10">
        <v>6127</v>
      </c>
    </row>
    <row r="7" spans="1:8" x14ac:dyDescent="0.2">
      <c r="A7" s="15" t="s">
        <v>97</v>
      </c>
      <c r="B7" s="11">
        <f>AVERAGE(B2:B6)</f>
        <v>743</v>
      </c>
      <c r="D7" s="15" t="s">
        <v>97</v>
      </c>
      <c r="E7" s="11">
        <f>AVERAGE(E2:E6)</f>
        <v>1957.2</v>
      </c>
      <c r="G7" s="15" t="s">
        <v>97</v>
      </c>
      <c r="H7" s="11">
        <f>AVERAGE(H2:H6)</f>
        <v>4919.8</v>
      </c>
    </row>
    <row r="8" spans="1:8" x14ac:dyDescent="0.2">
      <c r="A8" s="15" t="s">
        <v>98</v>
      </c>
      <c r="B8" s="11">
        <f>_xlfn.STDEV.S(B2:B6)</f>
        <v>89.783071901110617</v>
      </c>
      <c r="D8" s="15" t="s">
        <v>98</v>
      </c>
      <c r="E8" s="11">
        <f>_xlfn.STDEV.S(E2:E6)</f>
        <v>322.28744933676859</v>
      </c>
      <c r="G8" s="15" t="s">
        <v>98</v>
      </c>
      <c r="H8" s="11">
        <f>_xlfn.STDEV.S(H2:H6)</f>
        <v>1156.0872371927644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761-2FE7-0E44-8E97-ED0F9C05230B}">
  <dimension ref="A1:O73"/>
  <sheetViews>
    <sheetView workbookViewId="0">
      <selection activeCell="M2" sqref="M2"/>
    </sheetView>
  </sheetViews>
  <sheetFormatPr baseColWidth="10" defaultRowHeight="16" x14ac:dyDescent="0.2"/>
  <cols>
    <col min="3" max="3" width="12.33203125" customWidth="1"/>
    <col min="4" max="4" width="21" customWidth="1"/>
    <col min="6" max="6" width="14" customWidth="1"/>
    <col min="7" max="7" width="19.6640625" customWidth="1"/>
    <col min="8" max="8" width="15.6640625" customWidth="1"/>
    <col min="9" max="9" width="22.33203125" customWidth="1"/>
    <col min="10" max="10" width="18.1640625" customWidth="1"/>
    <col min="11" max="11" width="18.83203125" customWidth="1"/>
    <col min="12" max="12" width="21.33203125" customWidth="1"/>
    <col min="13" max="13" width="16.33203125" customWidth="1"/>
    <col min="14" max="14" width="16.6640625" customWidth="1"/>
    <col min="15" max="15" width="12.5" customWidth="1"/>
  </cols>
  <sheetData>
    <row r="1" spans="1:15" ht="22" x14ac:dyDescent="0.3">
      <c r="H1" s="2" t="s">
        <v>36</v>
      </c>
    </row>
    <row r="2" spans="1:15" ht="22" x14ac:dyDescent="0.3">
      <c r="H2" s="2" t="s">
        <v>43</v>
      </c>
    </row>
    <row r="4" spans="1:15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37</v>
      </c>
      <c r="F4" s="4" t="s">
        <v>38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15" x14ac:dyDescent="0.2">
      <c r="A5" s="4">
        <v>0</v>
      </c>
      <c r="B5" s="5" t="s">
        <v>13</v>
      </c>
      <c r="C5" s="5">
        <v>10</v>
      </c>
      <c r="D5" s="5" t="s">
        <v>14</v>
      </c>
      <c r="E5" s="5">
        <v>0</v>
      </c>
      <c r="F5" s="5" t="s">
        <v>13</v>
      </c>
      <c r="G5" s="1"/>
      <c r="H5" s="1"/>
      <c r="I5" s="1"/>
      <c r="J5" s="1"/>
      <c r="K5" s="1"/>
      <c r="L5" s="1"/>
      <c r="M5" s="5">
        <v>0</v>
      </c>
      <c r="N5" s="5" t="s">
        <v>49</v>
      </c>
      <c r="O5" s="5" t="s">
        <v>15</v>
      </c>
    </row>
    <row r="6" spans="1:15" x14ac:dyDescent="0.2">
      <c r="A6" s="4">
        <v>1</v>
      </c>
      <c r="B6" s="5" t="s">
        <v>13</v>
      </c>
      <c r="C6" s="5">
        <v>10</v>
      </c>
      <c r="D6" s="5" t="s">
        <v>23</v>
      </c>
      <c r="E6" s="5">
        <v>1</v>
      </c>
      <c r="F6" s="5" t="s">
        <v>13</v>
      </c>
      <c r="G6" s="5">
        <v>10</v>
      </c>
      <c r="H6" s="5">
        <v>9</v>
      </c>
      <c r="I6" s="5">
        <v>6</v>
      </c>
      <c r="J6" s="5">
        <v>0</v>
      </c>
      <c r="K6" s="5">
        <v>6</v>
      </c>
      <c r="L6" s="5">
        <v>0</v>
      </c>
      <c r="M6" s="5">
        <v>6</v>
      </c>
      <c r="N6" s="5" t="s">
        <v>49</v>
      </c>
      <c r="O6" s="5" t="s">
        <v>15</v>
      </c>
    </row>
    <row r="7" spans="1:15" x14ac:dyDescent="0.2">
      <c r="A7" s="4">
        <v>2</v>
      </c>
      <c r="B7" s="5" t="s">
        <v>13</v>
      </c>
      <c r="C7" s="5">
        <v>6</v>
      </c>
      <c r="D7" s="5" t="s">
        <v>16</v>
      </c>
      <c r="E7" s="5">
        <v>2</v>
      </c>
      <c r="F7" s="5" t="s">
        <v>13</v>
      </c>
      <c r="G7" s="5">
        <v>2</v>
      </c>
      <c r="H7" s="5">
        <v>11</v>
      </c>
      <c r="I7" s="5">
        <v>5</v>
      </c>
      <c r="J7" s="5">
        <v>0</v>
      </c>
      <c r="K7" s="5">
        <v>5</v>
      </c>
      <c r="L7" s="5">
        <v>0</v>
      </c>
      <c r="M7" s="5">
        <v>11</v>
      </c>
      <c r="N7" s="5" t="s">
        <v>49</v>
      </c>
      <c r="O7" s="5" t="s">
        <v>15</v>
      </c>
    </row>
    <row r="8" spans="1:15" x14ac:dyDescent="0.2">
      <c r="A8" s="4">
        <v>3</v>
      </c>
      <c r="B8" s="5" t="s">
        <v>13</v>
      </c>
      <c r="C8" s="5">
        <v>5</v>
      </c>
      <c r="D8" s="5" t="s">
        <v>25</v>
      </c>
      <c r="E8" s="5">
        <v>3</v>
      </c>
      <c r="F8" s="5" t="s">
        <v>13</v>
      </c>
      <c r="G8" s="5">
        <v>2</v>
      </c>
      <c r="H8" s="5">
        <v>14</v>
      </c>
      <c r="I8" s="5">
        <v>0</v>
      </c>
      <c r="J8" s="5">
        <v>7</v>
      </c>
      <c r="K8" s="5">
        <v>0</v>
      </c>
      <c r="L8" s="5">
        <v>14</v>
      </c>
      <c r="M8" s="5">
        <v>25</v>
      </c>
      <c r="N8" s="5" t="s">
        <v>49</v>
      </c>
      <c r="O8" s="5" t="s">
        <v>15</v>
      </c>
    </row>
    <row r="9" spans="1:15" x14ac:dyDescent="0.2">
      <c r="A9" s="4">
        <v>4</v>
      </c>
      <c r="B9" s="5" t="s">
        <v>13</v>
      </c>
      <c r="C9" s="5">
        <v>0</v>
      </c>
      <c r="D9" s="5" t="s">
        <v>28</v>
      </c>
      <c r="E9" s="5">
        <v>4</v>
      </c>
      <c r="F9" s="5" t="s">
        <v>13</v>
      </c>
      <c r="G9" s="5">
        <v>2</v>
      </c>
      <c r="H9" s="5">
        <v>14</v>
      </c>
      <c r="I9" s="5">
        <v>0</v>
      </c>
      <c r="J9" s="5">
        <v>12</v>
      </c>
      <c r="K9" s="5">
        <v>0</v>
      </c>
      <c r="L9" s="5">
        <v>24</v>
      </c>
      <c r="M9" s="5">
        <v>49</v>
      </c>
      <c r="N9" s="5" t="s">
        <v>49</v>
      </c>
      <c r="O9" s="5" t="s">
        <v>15</v>
      </c>
    </row>
    <row r="10" spans="1:15" x14ac:dyDescent="0.2">
      <c r="A10" s="4">
        <v>5</v>
      </c>
      <c r="B10" s="5" t="s">
        <v>13</v>
      </c>
      <c r="C10" s="5">
        <v>0</v>
      </c>
      <c r="D10" s="5" t="s">
        <v>34</v>
      </c>
      <c r="E10" s="5">
        <v>5</v>
      </c>
      <c r="F10" s="5" t="s">
        <v>13</v>
      </c>
      <c r="G10" s="5">
        <v>1</v>
      </c>
      <c r="H10" s="5">
        <v>12</v>
      </c>
      <c r="I10" s="5">
        <v>0</v>
      </c>
      <c r="J10" s="5">
        <v>10</v>
      </c>
      <c r="K10" s="5">
        <v>0</v>
      </c>
      <c r="L10" s="5">
        <v>20</v>
      </c>
      <c r="M10" s="5">
        <v>69</v>
      </c>
      <c r="N10" s="5" t="s">
        <v>49</v>
      </c>
      <c r="O10" s="5" t="s">
        <v>15</v>
      </c>
    </row>
    <row r="11" spans="1:15" x14ac:dyDescent="0.2">
      <c r="A11" s="4">
        <v>6</v>
      </c>
      <c r="B11" s="5" t="s">
        <v>13</v>
      </c>
      <c r="C11" s="5">
        <v>0</v>
      </c>
      <c r="D11" s="5" t="s">
        <v>35</v>
      </c>
      <c r="E11" s="5">
        <v>6</v>
      </c>
      <c r="F11" s="5" t="s">
        <v>13</v>
      </c>
      <c r="G11" s="5">
        <v>2</v>
      </c>
      <c r="H11" s="5">
        <v>13</v>
      </c>
      <c r="I11" s="5">
        <v>0</v>
      </c>
      <c r="J11" s="5">
        <v>12</v>
      </c>
      <c r="K11" s="5">
        <v>0</v>
      </c>
      <c r="L11" s="5">
        <v>24</v>
      </c>
      <c r="M11" s="5">
        <v>93</v>
      </c>
      <c r="N11" s="5" t="s">
        <v>49</v>
      </c>
      <c r="O11" s="5" t="s">
        <v>15</v>
      </c>
    </row>
    <row r="12" spans="1:15" x14ac:dyDescent="0.2">
      <c r="A12" s="4">
        <v>7</v>
      </c>
      <c r="B12" s="5" t="s">
        <v>13</v>
      </c>
      <c r="C12" s="5">
        <v>0</v>
      </c>
      <c r="D12" s="5" t="s">
        <v>20</v>
      </c>
      <c r="E12" s="5">
        <v>7</v>
      </c>
      <c r="F12" s="5" t="s">
        <v>13</v>
      </c>
      <c r="G12" s="5">
        <v>3</v>
      </c>
      <c r="H12" s="5">
        <v>13</v>
      </c>
      <c r="I12" s="5">
        <v>0</v>
      </c>
      <c r="J12" s="5">
        <v>11</v>
      </c>
      <c r="K12" s="5">
        <v>0</v>
      </c>
      <c r="L12" s="5">
        <v>22</v>
      </c>
      <c r="M12" s="5">
        <v>115</v>
      </c>
      <c r="N12" s="5" t="s">
        <v>49</v>
      </c>
      <c r="O12" s="5" t="s">
        <v>15</v>
      </c>
    </row>
    <row r="13" spans="1:15" x14ac:dyDescent="0.2">
      <c r="A13" s="4">
        <v>8</v>
      </c>
      <c r="B13" s="5" t="s">
        <v>13</v>
      </c>
      <c r="C13" s="5">
        <v>0</v>
      </c>
      <c r="D13" s="5" t="s">
        <v>21</v>
      </c>
      <c r="E13" s="5">
        <v>8</v>
      </c>
      <c r="F13" s="5" t="s">
        <v>13</v>
      </c>
      <c r="G13" s="5">
        <v>2</v>
      </c>
      <c r="H13" s="5">
        <v>12</v>
      </c>
      <c r="I13" s="5">
        <v>0</v>
      </c>
      <c r="J13" s="5">
        <v>9</v>
      </c>
      <c r="K13" s="5">
        <v>0</v>
      </c>
      <c r="L13" s="5">
        <v>18</v>
      </c>
      <c r="M13" s="5">
        <v>133</v>
      </c>
      <c r="N13" s="5" t="s">
        <v>49</v>
      </c>
      <c r="O13" s="5" t="s">
        <v>15</v>
      </c>
    </row>
    <row r="14" spans="1:15" x14ac:dyDescent="0.2">
      <c r="A14" s="4">
        <v>9</v>
      </c>
      <c r="B14" s="5" t="s">
        <v>13</v>
      </c>
      <c r="C14" s="5">
        <v>0</v>
      </c>
      <c r="D14" s="5" t="s">
        <v>32</v>
      </c>
      <c r="E14" s="5">
        <v>9</v>
      </c>
      <c r="F14" s="5" t="s">
        <v>13</v>
      </c>
      <c r="G14" s="5">
        <v>3</v>
      </c>
      <c r="H14" s="5">
        <v>9</v>
      </c>
      <c r="I14" s="5">
        <v>0</v>
      </c>
      <c r="J14" s="5">
        <v>7</v>
      </c>
      <c r="K14" s="5">
        <v>0</v>
      </c>
      <c r="L14" s="5">
        <v>14</v>
      </c>
      <c r="M14" s="5">
        <v>147</v>
      </c>
      <c r="N14" s="5" t="s">
        <v>49</v>
      </c>
      <c r="O14" s="5" t="s">
        <v>15</v>
      </c>
    </row>
    <row r="15" spans="1:15" x14ac:dyDescent="0.2">
      <c r="A15" s="4">
        <v>10</v>
      </c>
      <c r="B15" s="5" t="s">
        <v>13</v>
      </c>
      <c r="C15" s="5">
        <v>0</v>
      </c>
      <c r="D15" s="5" t="s">
        <v>33</v>
      </c>
      <c r="E15" s="5">
        <v>10</v>
      </c>
      <c r="F15" s="5" t="s">
        <v>13</v>
      </c>
      <c r="G15" s="5">
        <v>2</v>
      </c>
      <c r="H15" s="5">
        <v>13</v>
      </c>
      <c r="I15" s="5">
        <v>0</v>
      </c>
      <c r="J15" s="5">
        <v>10</v>
      </c>
      <c r="K15" s="5">
        <v>0</v>
      </c>
      <c r="L15" s="5">
        <v>20</v>
      </c>
      <c r="M15" s="5">
        <v>167</v>
      </c>
      <c r="N15" s="5" t="s">
        <v>49</v>
      </c>
      <c r="O15" s="5" t="s">
        <v>15</v>
      </c>
    </row>
    <row r="17" spans="1:15" ht="22" x14ac:dyDescent="0.3">
      <c r="H17" s="2" t="s">
        <v>41</v>
      </c>
    </row>
    <row r="19" spans="1:15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37</v>
      </c>
      <c r="F19" s="4" t="s">
        <v>38</v>
      </c>
      <c r="G19" s="4" t="s">
        <v>4</v>
      </c>
      <c r="H19" s="4" t="s">
        <v>5</v>
      </c>
      <c r="I19" s="4" t="s">
        <v>6</v>
      </c>
      <c r="J19" s="4" t="s">
        <v>7</v>
      </c>
      <c r="K19" s="4" t="s">
        <v>8</v>
      </c>
      <c r="L19" s="4" t="s">
        <v>9</v>
      </c>
      <c r="M19" s="4" t="s">
        <v>10</v>
      </c>
      <c r="N19" s="4" t="s">
        <v>11</v>
      </c>
      <c r="O19" s="4" t="s">
        <v>12</v>
      </c>
    </row>
    <row r="20" spans="1:15" x14ac:dyDescent="0.2">
      <c r="A20" s="4">
        <v>0</v>
      </c>
      <c r="B20" s="5" t="s">
        <v>13</v>
      </c>
      <c r="C20" s="5">
        <v>10</v>
      </c>
      <c r="D20" s="5" t="s">
        <v>14</v>
      </c>
      <c r="E20" s="5">
        <v>0</v>
      </c>
      <c r="F20" s="5" t="s">
        <v>13</v>
      </c>
      <c r="G20" s="1"/>
      <c r="H20" s="1"/>
      <c r="I20" s="1"/>
      <c r="J20" s="1"/>
      <c r="K20" s="1"/>
      <c r="L20" s="1"/>
      <c r="M20" s="5">
        <v>0</v>
      </c>
      <c r="N20" s="5" t="s">
        <v>49</v>
      </c>
      <c r="O20" s="5" t="s">
        <v>15</v>
      </c>
    </row>
    <row r="21" spans="1:15" x14ac:dyDescent="0.2">
      <c r="A21" s="4">
        <v>1</v>
      </c>
      <c r="B21" s="5" t="s">
        <v>13</v>
      </c>
      <c r="C21" s="5">
        <v>10</v>
      </c>
      <c r="D21" s="5" t="s">
        <v>23</v>
      </c>
      <c r="E21" s="5">
        <v>1</v>
      </c>
      <c r="F21" s="5" t="s">
        <v>13</v>
      </c>
      <c r="G21" s="5">
        <v>10</v>
      </c>
      <c r="H21" s="5">
        <v>9</v>
      </c>
      <c r="I21" s="5">
        <v>6</v>
      </c>
      <c r="J21" s="5">
        <v>0</v>
      </c>
      <c r="K21" s="5">
        <v>6</v>
      </c>
      <c r="L21" s="5">
        <v>0</v>
      </c>
      <c r="M21" s="5">
        <v>6</v>
      </c>
      <c r="N21" s="5" t="s">
        <v>49</v>
      </c>
      <c r="O21" s="5" t="s">
        <v>15</v>
      </c>
    </row>
    <row r="22" spans="1:15" x14ac:dyDescent="0.2">
      <c r="A22" s="4">
        <v>2</v>
      </c>
      <c r="B22" s="5" t="s">
        <v>13</v>
      </c>
      <c r="C22" s="5">
        <v>6</v>
      </c>
      <c r="D22" s="5" t="s">
        <v>16</v>
      </c>
      <c r="E22" s="5">
        <v>2</v>
      </c>
      <c r="F22" s="5" t="s">
        <v>13</v>
      </c>
      <c r="G22" s="5">
        <v>2</v>
      </c>
      <c r="H22" s="5">
        <v>10</v>
      </c>
      <c r="I22" s="5">
        <v>6</v>
      </c>
      <c r="J22" s="5">
        <v>0</v>
      </c>
      <c r="K22" s="5">
        <v>6</v>
      </c>
      <c r="L22" s="5">
        <v>0</v>
      </c>
      <c r="M22" s="5">
        <v>12</v>
      </c>
      <c r="N22" s="5" t="s">
        <v>49</v>
      </c>
      <c r="O22" s="5" t="s">
        <v>15</v>
      </c>
    </row>
    <row r="23" spans="1:15" x14ac:dyDescent="0.2">
      <c r="A23" s="4">
        <v>3</v>
      </c>
      <c r="B23" s="5" t="s">
        <v>13</v>
      </c>
      <c r="C23" s="5">
        <v>6</v>
      </c>
      <c r="D23" s="5" t="s">
        <v>25</v>
      </c>
      <c r="E23" s="5">
        <v>3</v>
      </c>
      <c r="F23" s="5" t="s">
        <v>13</v>
      </c>
      <c r="G23" s="5">
        <v>2</v>
      </c>
      <c r="H23" s="5">
        <v>12</v>
      </c>
      <c r="I23" s="5">
        <v>0</v>
      </c>
      <c r="J23" s="5">
        <v>4</v>
      </c>
      <c r="K23" s="5">
        <v>0</v>
      </c>
      <c r="L23" s="5">
        <v>8</v>
      </c>
      <c r="M23" s="5">
        <v>20</v>
      </c>
      <c r="N23" s="5" t="s">
        <v>49</v>
      </c>
      <c r="O23" s="5" t="s">
        <v>15</v>
      </c>
    </row>
    <row r="24" spans="1:15" x14ac:dyDescent="0.2">
      <c r="A24" s="4">
        <v>4</v>
      </c>
      <c r="B24" s="5" t="s">
        <v>13</v>
      </c>
      <c r="C24" s="5">
        <v>0</v>
      </c>
      <c r="D24" s="5" t="s">
        <v>39</v>
      </c>
      <c r="E24" s="5">
        <v>4</v>
      </c>
      <c r="F24" s="5" t="s">
        <v>13</v>
      </c>
      <c r="G24" s="5">
        <v>6</v>
      </c>
      <c r="H24" s="5">
        <v>9</v>
      </c>
      <c r="I24" s="5">
        <v>0</v>
      </c>
      <c r="J24" s="5">
        <v>7</v>
      </c>
      <c r="K24" s="5">
        <v>0</v>
      </c>
      <c r="L24" s="5">
        <v>14</v>
      </c>
      <c r="M24" s="5">
        <v>34</v>
      </c>
      <c r="N24" s="5" t="s">
        <v>49</v>
      </c>
      <c r="O24" s="5" t="s">
        <v>15</v>
      </c>
    </row>
    <row r="25" spans="1:15" x14ac:dyDescent="0.2">
      <c r="A25" s="4">
        <v>5</v>
      </c>
      <c r="B25" s="5" t="s">
        <v>13</v>
      </c>
      <c r="C25" s="5">
        <v>0</v>
      </c>
      <c r="D25" s="5" t="s">
        <v>34</v>
      </c>
      <c r="E25" s="5">
        <v>5</v>
      </c>
      <c r="F25" s="5" t="s">
        <v>13</v>
      </c>
      <c r="G25" s="5">
        <v>1</v>
      </c>
      <c r="H25" s="5">
        <v>10</v>
      </c>
      <c r="I25" s="5">
        <v>0</v>
      </c>
      <c r="J25" s="5">
        <v>4</v>
      </c>
      <c r="K25" s="5">
        <v>0</v>
      </c>
      <c r="L25" s="5">
        <v>8</v>
      </c>
      <c r="M25" s="5">
        <v>42</v>
      </c>
      <c r="N25" s="5" t="s">
        <v>49</v>
      </c>
      <c r="O25" s="5" t="s">
        <v>15</v>
      </c>
    </row>
    <row r="26" spans="1:15" x14ac:dyDescent="0.2">
      <c r="A26" s="4">
        <v>6</v>
      </c>
      <c r="B26" s="5" t="s">
        <v>13</v>
      </c>
      <c r="C26" s="5">
        <v>0</v>
      </c>
      <c r="D26" s="5" t="s">
        <v>19</v>
      </c>
      <c r="E26" s="5">
        <v>6</v>
      </c>
      <c r="F26" s="5" t="s">
        <v>13</v>
      </c>
      <c r="G26" s="5">
        <v>3</v>
      </c>
      <c r="H26" s="5">
        <v>11</v>
      </c>
      <c r="I26" s="5">
        <v>0</v>
      </c>
      <c r="J26" s="5">
        <v>10</v>
      </c>
      <c r="K26" s="5">
        <v>0</v>
      </c>
      <c r="L26" s="5">
        <v>20</v>
      </c>
      <c r="M26" s="5">
        <v>62</v>
      </c>
      <c r="N26" s="5" t="s">
        <v>49</v>
      </c>
      <c r="O26" s="5" t="s">
        <v>15</v>
      </c>
    </row>
    <row r="27" spans="1:15" x14ac:dyDescent="0.2">
      <c r="A27" s="4">
        <v>7</v>
      </c>
      <c r="B27" s="5" t="s">
        <v>13</v>
      </c>
      <c r="C27" s="5">
        <v>0</v>
      </c>
      <c r="D27" s="5" t="s">
        <v>29</v>
      </c>
      <c r="E27" s="5">
        <v>7</v>
      </c>
      <c r="F27" s="5" t="s">
        <v>13</v>
      </c>
      <c r="G27" s="5">
        <v>2</v>
      </c>
      <c r="H27" s="5">
        <v>9</v>
      </c>
      <c r="I27" s="5">
        <v>0</v>
      </c>
      <c r="J27" s="5">
        <v>6</v>
      </c>
      <c r="K27" s="5">
        <v>0</v>
      </c>
      <c r="L27" s="5">
        <v>12</v>
      </c>
      <c r="M27" s="5">
        <v>74</v>
      </c>
      <c r="N27" s="5" t="s">
        <v>49</v>
      </c>
      <c r="O27" s="5" t="s">
        <v>15</v>
      </c>
    </row>
    <row r="28" spans="1:15" x14ac:dyDescent="0.2">
      <c r="A28" s="4">
        <v>8</v>
      </c>
      <c r="B28" s="5" t="s">
        <v>13</v>
      </c>
      <c r="C28" s="5">
        <v>0</v>
      </c>
      <c r="D28" s="5" t="s">
        <v>40</v>
      </c>
      <c r="E28" s="5">
        <v>8</v>
      </c>
      <c r="F28" s="5" t="s">
        <v>13</v>
      </c>
      <c r="G28" s="5">
        <v>3</v>
      </c>
      <c r="H28" s="5">
        <v>13</v>
      </c>
      <c r="I28" s="5">
        <v>0</v>
      </c>
      <c r="J28" s="5">
        <v>11</v>
      </c>
      <c r="K28" s="5">
        <v>0</v>
      </c>
      <c r="L28" s="5">
        <v>22</v>
      </c>
      <c r="M28" s="5">
        <v>96</v>
      </c>
      <c r="N28" s="5" t="s">
        <v>49</v>
      </c>
      <c r="O28" s="5" t="s">
        <v>15</v>
      </c>
    </row>
    <row r="29" spans="1:15" x14ac:dyDescent="0.2">
      <c r="A29" s="4">
        <v>9</v>
      </c>
      <c r="B29" s="5" t="s">
        <v>13</v>
      </c>
      <c r="C29" s="5">
        <v>0</v>
      </c>
      <c r="D29" s="5" t="s">
        <v>32</v>
      </c>
      <c r="E29" s="5">
        <v>9</v>
      </c>
      <c r="F29" s="5" t="s">
        <v>13</v>
      </c>
      <c r="G29" s="5">
        <v>3</v>
      </c>
      <c r="H29" s="5">
        <v>11</v>
      </c>
      <c r="I29" s="5">
        <v>0</v>
      </c>
      <c r="J29" s="5">
        <v>8</v>
      </c>
      <c r="K29" s="5">
        <v>0</v>
      </c>
      <c r="L29" s="5">
        <v>16</v>
      </c>
      <c r="M29" s="5">
        <v>112</v>
      </c>
      <c r="N29" s="5" t="s">
        <v>49</v>
      </c>
      <c r="O29" s="5" t="s">
        <v>15</v>
      </c>
    </row>
    <row r="30" spans="1:15" x14ac:dyDescent="0.2">
      <c r="A30" s="4">
        <v>10</v>
      </c>
      <c r="B30" s="5" t="s">
        <v>13</v>
      </c>
      <c r="C30" s="5">
        <v>0</v>
      </c>
      <c r="D30" s="5" t="s">
        <v>22</v>
      </c>
      <c r="E30" s="5">
        <v>10</v>
      </c>
      <c r="F30" s="5" t="s">
        <v>13</v>
      </c>
      <c r="G30" s="5">
        <v>3</v>
      </c>
      <c r="H30" s="5">
        <v>13</v>
      </c>
      <c r="I30" s="5">
        <v>0</v>
      </c>
      <c r="J30" s="5">
        <v>10</v>
      </c>
      <c r="K30" s="5">
        <v>0</v>
      </c>
      <c r="L30" s="5">
        <v>20</v>
      </c>
      <c r="M30" s="5">
        <v>132</v>
      </c>
      <c r="N30" s="5" t="s">
        <v>49</v>
      </c>
      <c r="O30" s="5" t="s">
        <v>15</v>
      </c>
    </row>
    <row r="32" spans="1:15" ht="22" x14ac:dyDescent="0.3">
      <c r="H32" s="3" t="s">
        <v>42</v>
      </c>
    </row>
    <row r="34" spans="1:15" x14ac:dyDescent="0.2">
      <c r="A34" s="4" t="s">
        <v>0</v>
      </c>
      <c r="B34" s="4" t="s">
        <v>1</v>
      </c>
      <c r="C34" s="4" t="s">
        <v>2</v>
      </c>
      <c r="D34" s="4" t="s">
        <v>3</v>
      </c>
      <c r="E34" s="4" t="s">
        <v>37</v>
      </c>
      <c r="F34" s="4" t="s">
        <v>38</v>
      </c>
      <c r="G34" s="4" t="s">
        <v>4</v>
      </c>
      <c r="H34" s="4" t="s">
        <v>5</v>
      </c>
      <c r="I34" s="4" t="s">
        <v>6</v>
      </c>
      <c r="J34" s="4" t="s">
        <v>7</v>
      </c>
      <c r="K34" s="4" t="s">
        <v>8</v>
      </c>
      <c r="L34" s="4" t="s">
        <v>9</v>
      </c>
      <c r="M34" s="4" t="s">
        <v>10</v>
      </c>
      <c r="N34" s="4" t="s">
        <v>11</v>
      </c>
      <c r="O34" s="4" t="s">
        <v>12</v>
      </c>
    </row>
    <row r="35" spans="1:15" x14ac:dyDescent="0.2">
      <c r="A35" s="4">
        <v>0</v>
      </c>
      <c r="B35" s="5" t="s">
        <v>13</v>
      </c>
      <c r="C35" s="5">
        <v>10</v>
      </c>
      <c r="D35" s="5" t="s">
        <v>14</v>
      </c>
      <c r="E35" s="5">
        <v>0</v>
      </c>
      <c r="F35" s="5" t="s">
        <v>13</v>
      </c>
      <c r="G35" s="1"/>
      <c r="H35" s="1"/>
      <c r="I35" s="1"/>
      <c r="J35" s="1"/>
      <c r="K35" s="1"/>
      <c r="L35" s="1"/>
      <c r="M35" s="5">
        <v>0</v>
      </c>
      <c r="N35" s="5" t="s">
        <v>49</v>
      </c>
      <c r="O35" s="5" t="s">
        <v>15</v>
      </c>
    </row>
    <row r="36" spans="1:15" x14ac:dyDescent="0.2">
      <c r="A36" s="4">
        <v>1</v>
      </c>
      <c r="B36" s="5" t="s">
        <v>13</v>
      </c>
      <c r="C36" s="5">
        <v>10</v>
      </c>
      <c r="D36" s="5" t="s">
        <v>23</v>
      </c>
      <c r="E36" s="5">
        <v>1</v>
      </c>
      <c r="F36" s="5" t="s">
        <v>13</v>
      </c>
      <c r="G36" s="5">
        <v>10</v>
      </c>
      <c r="H36" s="5">
        <v>13</v>
      </c>
      <c r="I36" s="5">
        <v>2</v>
      </c>
      <c r="J36" s="5">
        <v>0</v>
      </c>
      <c r="K36" s="5">
        <v>2</v>
      </c>
      <c r="L36" s="5">
        <v>0</v>
      </c>
      <c r="M36" s="5">
        <v>2</v>
      </c>
      <c r="N36" s="5" t="s">
        <v>49</v>
      </c>
      <c r="O36" s="5" t="s">
        <v>15</v>
      </c>
    </row>
    <row r="37" spans="1:15" x14ac:dyDescent="0.2">
      <c r="A37" s="4">
        <v>2</v>
      </c>
      <c r="B37" s="5" t="s">
        <v>13</v>
      </c>
      <c r="C37" s="5">
        <v>2</v>
      </c>
      <c r="D37" s="5" t="s">
        <v>24</v>
      </c>
      <c r="E37" s="5">
        <v>2</v>
      </c>
      <c r="F37" s="5" t="s">
        <v>13</v>
      </c>
      <c r="G37" s="5">
        <v>1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2</v>
      </c>
      <c r="N37" s="5" t="s">
        <v>49</v>
      </c>
      <c r="O37" s="5" t="s">
        <v>15</v>
      </c>
    </row>
    <row r="38" spans="1:15" x14ac:dyDescent="0.2">
      <c r="A38" s="4">
        <v>3</v>
      </c>
      <c r="B38" s="5" t="s">
        <v>13</v>
      </c>
      <c r="C38" s="5">
        <v>0</v>
      </c>
      <c r="D38" s="5" t="s">
        <v>27</v>
      </c>
      <c r="E38" s="5">
        <v>3</v>
      </c>
      <c r="F38" s="5" t="s">
        <v>13</v>
      </c>
      <c r="G38" s="5">
        <v>1</v>
      </c>
      <c r="H38" s="5">
        <v>14</v>
      </c>
      <c r="I38" s="5">
        <v>0</v>
      </c>
      <c r="J38" s="5">
        <v>13</v>
      </c>
      <c r="K38" s="5">
        <v>0</v>
      </c>
      <c r="L38" s="5">
        <v>26</v>
      </c>
      <c r="M38" s="5">
        <v>28</v>
      </c>
      <c r="N38" s="5" t="s">
        <v>49</v>
      </c>
      <c r="O38" s="5" t="s">
        <v>15</v>
      </c>
    </row>
    <row r="39" spans="1:15" x14ac:dyDescent="0.2">
      <c r="A39" s="4">
        <v>4</v>
      </c>
      <c r="B39" s="5" t="s">
        <v>13</v>
      </c>
      <c r="C39" s="5">
        <v>0</v>
      </c>
      <c r="D39" s="5" t="s">
        <v>18</v>
      </c>
      <c r="E39" s="5">
        <v>4</v>
      </c>
      <c r="F39" s="5" t="s">
        <v>13</v>
      </c>
      <c r="G39" s="5">
        <v>3</v>
      </c>
      <c r="H39" s="5">
        <v>9</v>
      </c>
      <c r="I39" s="5">
        <v>0</v>
      </c>
      <c r="J39" s="5">
        <v>8</v>
      </c>
      <c r="K39" s="5">
        <v>0</v>
      </c>
      <c r="L39" s="5">
        <v>16</v>
      </c>
      <c r="M39" s="5">
        <v>44</v>
      </c>
      <c r="N39" s="5" t="s">
        <v>49</v>
      </c>
      <c r="O39" s="5" t="s">
        <v>15</v>
      </c>
    </row>
    <row r="40" spans="1:15" x14ac:dyDescent="0.2">
      <c r="A40" s="4">
        <v>5</v>
      </c>
      <c r="B40" s="5" t="s">
        <v>13</v>
      </c>
      <c r="C40" s="5">
        <v>0</v>
      </c>
      <c r="D40" s="5" t="s">
        <v>34</v>
      </c>
      <c r="E40" s="5">
        <v>5</v>
      </c>
      <c r="F40" s="5" t="s">
        <v>13</v>
      </c>
      <c r="G40" s="5">
        <v>1</v>
      </c>
      <c r="H40" s="5">
        <v>10</v>
      </c>
      <c r="I40" s="5">
        <v>0</v>
      </c>
      <c r="J40" s="5">
        <v>7</v>
      </c>
      <c r="K40" s="5">
        <v>0</v>
      </c>
      <c r="L40" s="5">
        <v>14</v>
      </c>
      <c r="M40" s="5">
        <v>58</v>
      </c>
      <c r="N40" s="5" t="s">
        <v>49</v>
      </c>
      <c r="O40" s="5" t="s">
        <v>15</v>
      </c>
    </row>
    <row r="41" spans="1:15" x14ac:dyDescent="0.2">
      <c r="A41" s="4">
        <v>6</v>
      </c>
      <c r="B41" s="5" t="s">
        <v>13</v>
      </c>
      <c r="C41" s="5">
        <v>0</v>
      </c>
      <c r="D41" s="5" t="s">
        <v>19</v>
      </c>
      <c r="E41" s="5">
        <v>6</v>
      </c>
      <c r="F41" s="5" t="s">
        <v>13</v>
      </c>
      <c r="G41" s="5">
        <v>3</v>
      </c>
      <c r="H41" s="5">
        <v>14</v>
      </c>
      <c r="I41" s="5">
        <v>0</v>
      </c>
      <c r="J41" s="5">
        <v>13</v>
      </c>
      <c r="K41" s="5">
        <v>0</v>
      </c>
      <c r="L41" s="5">
        <v>26</v>
      </c>
      <c r="M41" s="5">
        <v>84</v>
      </c>
      <c r="N41" s="5" t="s">
        <v>49</v>
      </c>
      <c r="O41" s="5" t="s">
        <v>15</v>
      </c>
    </row>
    <row r="42" spans="1:15" x14ac:dyDescent="0.2">
      <c r="A42" s="4">
        <v>7</v>
      </c>
      <c r="B42" s="5" t="s">
        <v>13</v>
      </c>
      <c r="C42" s="5">
        <v>0</v>
      </c>
      <c r="D42" s="5" t="s">
        <v>29</v>
      </c>
      <c r="E42" s="5">
        <v>7</v>
      </c>
      <c r="F42" s="5" t="s">
        <v>13</v>
      </c>
      <c r="G42" s="5">
        <v>2</v>
      </c>
      <c r="H42" s="5">
        <v>14</v>
      </c>
      <c r="I42" s="5">
        <v>0</v>
      </c>
      <c r="J42" s="5">
        <v>11</v>
      </c>
      <c r="K42" s="5">
        <v>0</v>
      </c>
      <c r="L42" s="5">
        <v>22</v>
      </c>
      <c r="M42" s="5">
        <v>106</v>
      </c>
      <c r="N42" s="5" t="s">
        <v>49</v>
      </c>
      <c r="O42" s="5" t="s">
        <v>15</v>
      </c>
    </row>
    <row r="43" spans="1:15" x14ac:dyDescent="0.2">
      <c r="A43" s="4">
        <v>8</v>
      </c>
      <c r="B43" s="5" t="s">
        <v>13</v>
      </c>
      <c r="C43" s="5">
        <v>0</v>
      </c>
      <c r="D43" s="5" t="s">
        <v>21</v>
      </c>
      <c r="E43" s="5">
        <v>8</v>
      </c>
      <c r="F43" s="5" t="s">
        <v>13</v>
      </c>
      <c r="G43" s="5">
        <v>2</v>
      </c>
      <c r="H43" s="5">
        <v>11</v>
      </c>
      <c r="I43" s="5">
        <v>0</v>
      </c>
      <c r="J43" s="5">
        <v>9</v>
      </c>
      <c r="K43" s="5">
        <v>0</v>
      </c>
      <c r="L43" s="5">
        <v>18</v>
      </c>
      <c r="M43" s="5">
        <v>124</v>
      </c>
      <c r="N43" s="5" t="s">
        <v>49</v>
      </c>
      <c r="O43" s="5" t="s">
        <v>15</v>
      </c>
    </row>
    <row r="44" spans="1:15" x14ac:dyDescent="0.2">
      <c r="A44" s="4">
        <v>9</v>
      </c>
      <c r="B44" s="5" t="s">
        <v>13</v>
      </c>
      <c r="C44" s="5">
        <v>0</v>
      </c>
      <c r="D44" s="5" t="s">
        <v>32</v>
      </c>
      <c r="E44" s="5">
        <v>9</v>
      </c>
      <c r="F44" s="5" t="s">
        <v>13</v>
      </c>
      <c r="G44" s="5">
        <v>3</v>
      </c>
      <c r="H44" s="5">
        <v>9</v>
      </c>
      <c r="I44" s="5">
        <v>0</v>
      </c>
      <c r="J44" s="5">
        <v>7</v>
      </c>
      <c r="K44" s="5">
        <v>0</v>
      </c>
      <c r="L44" s="5">
        <v>14</v>
      </c>
      <c r="M44" s="5">
        <v>138</v>
      </c>
      <c r="N44" s="5" t="s">
        <v>49</v>
      </c>
      <c r="O44" s="5" t="s">
        <v>15</v>
      </c>
    </row>
    <row r="45" spans="1:15" x14ac:dyDescent="0.2">
      <c r="A45" s="4">
        <v>10</v>
      </c>
      <c r="B45" s="5" t="s">
        <v>13</v>
      </c>
      <c r="C45" s="5">
        <v>0</v>
      </c>
      <c r="D45" s="5" t="s">
        <v>33</v>
      </c>
      <c r="E45" s="5">
        <v>10</v>
      </c>
      <c r="F45" s="5" t="s">
        <v>13</v>
      </c>
      <c r="G45" s="5">
        <v>2</v>
      </c>
      <c r="H45" s="5">
        <v>12</v>
      </c>
      <c r="I45" s="5">
        <v>0</v>
      </c>
      <c r="J45" s="5">
        <v>9</v>
      </c>
      <c r="K45" s="5">
        <v>0</v>
      </c>
      <c r="L45" s="5">
        <v>18</v>
      </c>
      <c r="M45" s="5">
        <v>156</v>
      </c>
      <c r="N45" s="5" t="s">
        <v>49</v>
      </c>
      <c r="O45" s="5" t="s">
        <v>15</v>
      </c>
    </row>
    <row r="47" spans="1:15" ht="22" x14ac:dyDescent="0.3">
      <c r="H47" s="3" t="s">
        <v>44</v>
      </c>
    </row>
    <row r="48" spans="1:15" x14ac:dyDescent="0.2">
      <c r="A48" s="4" t="s">
        <v>0</v>
      </c>
      <c r="B48" s="4" t="s">
        <v>1</v>
      </c>
      <c r="C48" s="4" t="s">
        <v>2</v>
      </c>
      <c r="D48" s="4" t="s">
        <v>3</v>
      </c>
      <c r="E48" s="4" t="s">
        <v>37</v>
      </c>
      <c r="F48" s="4" t="s">
        <v>38</v>
      </c>
      <c r="G48" s="4" t="s">
        <v>4</v>
      </c>
      <c r="H48" s="4" t="s">
        <v>5</v>
      </c>
      <c r="I48" s="4" t="s">
        <v>6</v>
      </c>
      <c r="J48" s="4" t="s">
        <v>7</v>
      </c>
      <c r="K48" s="4" t="s">
        <v>8</v>
      </c>
      <c r="L48" s="4" t="s">
        <v>9</v>
      </c>
      <c r="M48" s="4" t="s">
        <v>10</v>
      </c>
      <c r="N48" s="4" t="s">
        <v>11</v>
      </c>
      <c r="O48" s="4" t="s">
        <v>12</v>
      </c>
    </row>
    <row r="49" spans="1:15" x14ac:dyDescent="0.2">
      <c r="A49" s="4">
        <v>0</v>
      </c>
      <c r="B49" s="5" t="s">
        <v>13</v>
      </c>
      <c r="C49" s="5">
        <v>10</v>
      </c>
      <c r="D49" s="5" t="s">
        <v>14</v>
      </c>
      <c r="E49" s="5">
        <v>0</v>
      </c>
      <c r="F49" s="5" t="s">
        <v>13</v>
      </c>
      <c r="G49" s="1"/>
      <c r="H49" s="1"/>
      <c r="I49" s="1"/>
      <c r="J49" s="1"/>
      <c r="K49" s="1"/>
      <c r="L49" s="1"/>
      <c r="M49" s="5">
        <v>0</v>
      </c>
      <c r="N49" s="5" t="s">
        <v>49</v>
      </c>
      <c r="O49" s="5" t="s">
        <v>15</v>
      </c>
    </row>
    <row r="50" spans="1:15" x14ac:dyDescent="0.2">
      <c r="A50" s="4">
        <v>1</v>
      </c>
      <c r="B50" s="5" t="s">
        <v>13</v>
      </c>
      <c r="C50" s="5">
        <v>10</v>
      </c>
      <c r="D50" s="5" t="s">
        <v>23</v>
      </c>
      <c r="E50" s="5">
        <v>1</v>
      </c>
      <c r="F50" s="5" t="s">
        <v>13</v>
      </c>
      <c r="G50" s="5">
        <v>10</v>
      </c>
      <c r="H50" s="5">
        <v>13</v>
      </c>
      <c r="I50" s="5">
        <v>2</v>
      </c>
      <c r="J50" s="5">
        <v>0</v>
      </c>
      <c r="K50" s="5">
        <v>2</v>
      </c>
      <c r="L50" s="5">
        <v>0</v>
      </c>
      <c r="M50" s="5">
        <v>2</v>
      </c>
      <c r="N50" s="5" t="s">
        <v>49</v>
      </c>
      <c r="O50" s="5" t="s">
        <v>15</v>
      </c>
    </row>
    <row r="51" spans="1:15" x14ac:dyDescent="0.2">
      <c r="A51" s="4">
        <v>2</v>
      </c>
      <c r="B51" s="5" t="s">
        <v>13</v>
      </c>
      <c r="C51" s="5">
        <v>2</v>
      </c>
      <c r="D51" s="5" t="s">
        <v>24</v>
      </c>
      <c r="E51" s="5">
        <v>2</v>
      </c>
      <c r="F51" s="5" t="s">
        <v>13</v>
      </c>
      <c r="G51" s="5">
        <v>1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2</v>
      </c>
      <c r="N51" s="5" t="s">
        <v>49</v>
      </c>
      <c r="O51" s="5" t="s">
        <v>15</v>
      </c>
    </row>
    <row r="52" spans="1:15" x14ac:dyDescent="0.2">
      <c r="A52" s="4">
        <v>3</v>
      </c>
      <c r="B52" s="5" t="s">
        <v>13</v>
      </c>
      <c r="C52" s="5">
        <v>0</v>
      </c>
      <c r="D52" s="5" t="s">
        <v>17</v>
      </c>
      <c r="E52" s="5">
        <v>3</v>
      </c>
      <c r="F52" s="5" t="s">
        <v>13</v>
      </c>
      <c r="G52" s="5">
        <v>3</v>
      </c>
      <c r="H52" s="5">
        <v>13</v>
      </c>
      <c r="I52" s="5">
        <v>0</v>
      </c>
      <c r="J52" s="5">
        <v>12</v>
      </c>
      <c r="K52" s="5">
        <v>0</v>
      </c>
      <c r="L52" s="5">
        <v>24</v>
      </c>
      <c r="M52" s="5">
        <v>26</v>
      </c>
      <c r="N52" s="5" t="s">
        <v>49</v>
      </c>
      <c r="O52" s="5" t="s">
        <v>15</v>
      </c>
    </row>
    <row r="53" spans="1:15" x14ac:dyDescent="0.2">
      <c r="A53" s="4">
        <v>4</v>
      </c>
      <c r="B53" s="5" t="s">
        <v>13</v>
      </c>
      <c r="C53" s="5">
        <v>0</v>
      </c>
      <c r="D53" s="5" t="s">
        <v>46</v>
      </c>
      <c r="E53" s="5">
        <v>4</v>
      </c>
      <c r="F53" s="5" t="s">
        <v>13</v>
      </c>
      <c r="G53" s="5">
        <v>1</v>
      </c>
      <c r="H53" s="5">
        <v>11</v>
      </c>
      <c r="I53" s="5">
        <v>0</v>
      </c>
      <c r="J53" s="5">
        <v>8</v>
      </c>
      <c r="K53" s="5">
        <v>0</v>
      </c>
      <c r="L53" s="5">
        <v>16</v>
      </c>
      <c r="M53" s="5">
        <v>42</v>
      </c>
      <c r="N53" s="5" t="s">
        <v>49</v>
      </c>
      <c r="O53" s="5" t="s">
        <v>15</v>
      </c>
    </row>
    <row r="54" spans="1:15" x14ac:dyDescent="0.2">
      <c r="A54" s="4">
        <v>5</v>
      </c>
      <c r="B54" s="5" t="s">
        <v>13</v>
      </c>
      <c r="C54" s="5">
        <v>0</v>
      </c>
      <c r="D54" s="5" t="s">
        <v>34</v>
      </c>
      <c r="E54" s="5">
        <v>5</v>
      </c>
      <c r="F54" s="5" t="s">
        <v>13</v>
      </c>
      <c r="G54" s="5">
        <v>1</v>
      </c>
      <c r="H54" s="5">
        <v>12</v>
      </c>
      <c r="I54" s="5">
        <v>0</v>
      </c>
      <c r="J54" s="5">
        <v>11</v>
      </c>
      <c r="K54" s="5">
        <v>0</v>
      </c>
      <c r="L54" s="5">
        <v>22</v>
      </c>
      <c r="M54" s="5">
        <v>64</v>
      </c>
      <c r="N54" s="5" t="s">
        <v>49</v>
      </c>
      <c r="O54" s="5" t="s">
        <v>15</v>
      </c>
    </row>
    <row r="55" spans="1:15" x14ac:dyDescent="0.2">
      <c r="A55" s="4">
        <v>6</v>
      </c>
      <c r="B55" s="5" t="s">
        <v>13</v>
      </c>
      <c r="C55" s="5">
        <v>0</v>
      </c>
      <c r="D55" s="5" t="s">
        <v>31</v>
      </c>
      <c r="E55" s="5">
        <v>6</v>
      </c>
      <c r="F55" s="5" t="s">
        <v>13</v>
      </c>
      <c r="G55" s="5">
        <v>1</v>
      </c>
      <c r="H55" s="5">
        <v>14</v>
      </c>
      <c r="I55" s="5">
        <v>0</v>
      </c>
      <c r="J55" s="5">
        <v>13</v>
      </c>
      <c r="K55" s="5">
        <v>0</v>
      </c>
      <c r="L55" s="5">
        <v>26</v>
      </c>
      <c r="M55" s="5">
        <v>90</v>
      </c>
      <c r="N55" s="5" t="s">
        <v>49</v>
      </c>
      <c r="O55" s="5" t="s">
        <v>15</v>
      </c>
    </row>
    <row r="56" spans="1:15" x14ac:dyDescent="0.2">
      <c r="A56" s="4">
        <v>7</v>
      </c>
      <c r="B56" s="5" t="s">
        <v>13</v>
      </c>
      <c r="C56" s="5">
        <v>0</v>
      </c>
      <c r="D56" s="5" t="s">
        <v>29</v>
      </c>
      <c r="E56" s="5">
        <v>7</v>
      </c>
      <c r="F56" s="5" t="s">
        <v>13</v>
      </c>
      <c r="G56" s="5">
        <v>2</v>
      </c>
      <c r="H56" s="5">
        <v>14</v>
      </c>
      <c r="I56" s="5">
        <v>0</v>
      </c>
      <c r="J56" s="5">
        <v>13</v>
      </c>
      <c r="K56" s="5">
        <v>0</v>
      </c>
      <c r="L56" s="5">
        <v>26</v>
      </c>
      <c r="M56" s="5">
        <v>116</v>
      </c>
      <c r="N56" s="5" t="s">
        <v>49</v>
      </c>
      <c r="O56" s="5" t="s">
        <v>15</v>
      </c>
    </row>
    <row r="57" spans="1:15" x14ac:dyDescent="0.2">
      <c r="A57" s="4">
        <v>8</v>
      </c>
      <c r="B57" s="5" t="s">
        <v>13</v>
      </c>
      <c r="C57" s="5">
        <v>0</v>
      </c>
      <c r="D57" s="5" t="s">
        <v>47</v>
      </c>
      <c r="E57" s="5">
        <v>8</v>
      </c>
      <c r="F57" s="5" t="s">
        <v>13</v>
      </c>
      <c r="G57" s="5">
        <v>1</v>
      </c>
      <c r="H57" s="5">
        <v>9</v>
      </c>
      <c r="I57" s="5">
        <v>0</v>
      </c>
      <c r="J57" s="5">
        <v>7</v>
      </c>
      <c r="K57" s="5">
        <v>0</v>
      </c>
      <c r="L57" s="5">
        <v>14</v>
      </c>
      <c r="M57" s="5">
        <v>130</v>
      </c>
      <c r="N57" s="5" t="s">
        <v>49</v>
      </c>
      <c r="O57" s="5" t="s">
        <v>15</v>
      </c>
    </row>
    <row r="58" spans="1:15" x14ac:dyDescent="0.2">
      <c r="A58" s="4">
        <v>9</v>
      </c>
      <c r="B58" s="5" t="s">
        <v>13</v>
      </c>
      <c r="C58" s="5">
        <v>0</v>
      </c>
      <c r="D58" s="5" t="s">
        <v>32</v>
      </c>
      <c r="E58" s="5">
        <v>9</v>
      </c>
      <c r="F58" s="5" t="s">
        <v>13</v>
      </c>
      <c r="G58" s="5">
        <v>3</v>
      </c>
      <c r="H58" s="5">
        <v>12</v>
      </c>
      <c r="I58" s="5">
        <v>0</v>
      </c>
      <c r="J58" s="5">
        <v>11</v>
      </c>
      <c r="K58" s="5">
        <v>0</v>
      </c>
      <c r="L58" s="5">
        <v>22</v>
      </c>
      <c r="M58" s="5">
        <v>152</v>
      </c>
      <c r="N58" s="5" t="s">
        <v>49</v>
      </c>
      <c r="O58" s="5" t="s">
        <v>15</v>
      </c>
    </row>
    <row r="59" spans="1:15" x14ac:dyDescent="0.2">
      <c r="A59" s="4">
        <v>10</v>
      </c>
      <c r="B59" s="5" t="s">
        <v>13</v>
      </c>
      <c r="C59" s="5">
        <v>0</v>
      </c>
      <c r="D59" s="5" t="s">
        <v>30</v>
      </c>
      <c r="E59" s="5">
        <v>10</v>
      </c>
      <c r="F59" s="5" t="s">
        <v>13</v>
      </c>
      <c r="G59" s="5">
        <v>1</v>
      </c>
      <c r="H59" s="5">
        <v>13</v>
      </c>
      <c r="I59" s="5">
        <v>0</v>
      </c>
      <c r="J59" s="5">
        <v>10</v>
      </c>
      <c r="K59" s="5">
        <v>0</v>
      </c>
      <c r="L59" s="5">
        <v>20</v>
      </c>
      <c r="M59" s="5">
        <v>172</v>
      </c>
      <c r="N59" s="5" t="s">
        <v>49</v>
      </c>
      <c r="O59" s="5" t="s">
        <v>15</v>
      </c>
    </row>
    <row r="61" spans="1:15" ht="22" x14ac:dyDescent="0.3">
      <c r="H61" s="3" t="s">
        <v>45</v>
      </c>
    </row>
    <row r="62" spans="1:15" x14ac:dyDescent="0.2">
      <c r="A62" s="4" t="s">
        <v>0</v>
      </c>
      <c r="B62" s="4" t="s">
        <v>1</v>
      </c>
      <c r="C62" s="4" t="s">
        <v>2</v>
      </c>
      <c r="D62" s="4" t="s">
        <v>3</v>
      </c>
      <c r="E62" s="4" t="s">
        <v>37</v>
      </c>
      <c r="F62" s="4" t="s">
        <v>38</v>
      </c>
      <c r="G62" s="4" t="s">
        <v>4</v>
      </c>
      <c r="H62" s="4" t="s">
        <v>5</v>
      </c>
      <c r="I62" s="4" t="s">
        <v>6</v>
      </c>
      <c r="J62" s="4" t="s">
        <v>7</v>
      </c>
      <c r="K62" s="4" t="s">
        <v>8</v>
      </c>
      <c r="L62" s="4" t="s">
        <v>9</v>
      </c>
      <c r="M62" s="4" t="s">
        <v>10</v>
      </c>
      <c r="N62" s="4" t="s">
        <v>11</v>
      </c>
      <c r="O62" s="4" t="s">
        <v>12</v>
      </c>
    </row>
    <row r="63" spans="1:15" x14ac:dyDescent="0.2">
      <c r="A63" s="4">
        <v>0</v>
      </c>
      <c r="B63" s="5" t="s">
        <v>13</v>
      </c>
      <c r="C63" s="5">
        <v>10</v>
      </c>
      <c r="D63" s="5" t="s">
        <v>14</v>
      </c>
      <c r="E63" s="5">
        <v>0</v>
      </c>
      <c r="F63" s="5" t="s">
        <v>13</v>
      </c>
      <c r="G63" s="1"/>
      <c r="H63" s="1"/>
      <c r="I63" s="1"/>
      <c r="J63" s="1"/>
      <c r="K63" s="1"/>
      <c r="L63" s="1"/>
      <c r="M63" s="5">
        <v>0</v>
      </c>
      <c r="N63" s="5" t="s">
        <v>49</v>
      </c>
      <c r="O63" s="5" t="s">
        <v>15</v>
      </c>
    </row>
    <row r="64" spans="1:15" x14ac:dyDescent="0.2">
      <c r="A64" s="4">
        <v>1</v>
      </c>
      <c r="B64" s="5" t="s">
        <v>13</v>
      </c>
      <c r="C64" s="5">
        <v>10</v>
      </c>
      <c r="D64" s="5" t="s">
        <v>23</v>
      </c>
      <c r="E64" s="5">
        <v>1</v>
      </c>
      <c r="F64" s="5" t="s">
        <v>13</v>
      </c>
      <c r="G64" s="5">
        <v>10</v>
      </c>
      <c r="H64" s="5">
        <v>12</v>
      </c>
      <c r="I64" s="5">
        <v>3</v>
      </c>
      <c r="J64" s="5">
        <v>0</v>
      </c>
      <c r="K64" s="5">
        <v>3</v>
      </c>
      <c r="L64" s="5">
        <v>0</v>
      </c>
      <c r="M64" s="5">
        <v>3</v>
      </c>
      <c r="N64" s="5" t="s">
        <v>49</v>
      </c>
      <c r="O64" s="5" t="s">
        <v>15</v>
      </c>
    </row>
    <row r="65" spans="1:15" x14ac:dyDescent="0.2">
      <c r="A65" s="4">
        <v>2</v>
      </c>
      <c r="B65" s="5" t="s">
        <v>13</v>
      </c>
      <c r="C65" s="5">
        <v>3</v>
      </c>
      <c r="D65" s="5" t="s">
        <v>24</v>
      </c>
      <c r="E65" s="5">
        <v>2</v>
      </c>
      <c r="F65" s="5" t="s">
        <v>13</v>
      </c>
      <c r="G65" s="5">
        <v>1</v>
      </c>
      <c r="H65" s="5">
        <v>13</v>
      </c>
      <c r="I65" s="5">
        <v>0</v>
      </c>
      <c r="J65" s="5">
        <v>0</v>
      </c>
      <c r="K65" s="5">
        <v>0</v>
      </c>
      <c r="L65" s="5">
        <v>0</v>
      </c>
      <c r="M65" s="5">
        <v>3</v>
      </c>
      <c r="N65" s="5" t="s">
        <v>49</v>
      </c>
      <c r="O65" s="5" t="s">
        <v>15</v>
      </c>
    </row>
    <row r="66" spans="1:15" x14ac:dyDescent="0.2">
      <c r="A66" s="4">
        <v>3</v>
      </c>
      <c r="B66" s="5" t="s">
        <v>13</v>
      </c>
      <c r="C66" s="5">
        <v>0</v>
      </c>
      <c r="D66" s="5" t="s">
        <v>27</v>
      </c>
      <c r="E66" s="5">
        <v>3</v>
      </c>
      <c r="F66" s="5" t="s">
        <v>13</v>
      </c>
      <c r="G66" s="5">
        <v>1</v>
      </c>
      <c r="H66" s="5">
        <v>10</v>
      </c>
      <c r="I66" s="5">
        <v>0</v>
      </c>
      <c r="J66" s="5">
        <v>9</v>
      </c>
      <c r="K66" s="5">
        <v>0</v>
      </c>
      <c r="L66" s="5">
        <v>18</v>
      </c>
      <c r="M66" s="5">
        <v>21</v>
      </c>
      <c r="N66" s="5" t="s">
        <v>49</v>
      </c>
      <c r="O66" s="5" t="s">
        <v>15</v>
      </c>
    </row>
    <row r="67" spans="1:15" x14ac:dyDescent="0.2">
      <c r="A67" s="4">
        <v>4</v>
      </c>
      <c r="B67" s="5" t="s">
        <v>13</v>
      </c>
      <c r="C67" s="5">
        <v>0</v>
      </c>
      <c r="D67" s="5" t="s">
        <v>46</v>
      </c>
      <c r="E67" s="5">
        <v>4</v>
      </c>
      <c r="F67" s="5" t="s">
        <v>13</v>
      </c>
      <c r="G67" s="5">
        <v>1</v>
      </c>
      <c r="H67" s="5">
        <v>14</v>
      </c>
      <c r="I67" s="5">
        <v>0</v>
      </c>
      <c r="J67" s="5">
        <v>13</v>
      </c>
      <c r="K67" s="5">
        <v>0</v>
      </c>
      <c r="L67" s="5">
        <v>26</v>
      </c>
      <c r="M67" s="5">
        <v>47</v>
      </c>
      <c r="N67" s="5" t="s">
        <v>49</v>
      </c>
      <c r="O67" s="5" t="s">
        <v>15</v>
      </c>
    </row>
    <row r="68" spans="1:15" x14ac:dyDescent="0.2">
      <c r="A68" s="4">
        <v>5</v>
      </c>
      <c r="B68" s="5" t="s">
        <v>13</v>
      </c>
      <c r="C68" s="5">
        <v>0</v>
      </c>
      <c r="D68" s="5" t="s">
        <v>26</v>
      </c>
      <c r="E68" s="5">
        <v>5</v>
      </c>
      <c r="F68" s="5" t="s">
        <v>13</v>
      </c>
      <c r="G68" s="5">
        <v>2</v>
      </c>
      <c r="H68" s="5">
        <v>10</v>
      </c>
      <c r="I68" s="5">
        <v>0</v>
      </c>
      <c r="J68" s="5">
        <v>9</v>
      </c>
      <c r="K68" s="5">
        <v>0</v>
      </c>
      <c r="L68" s="5">
        <v>18</v>
      </c>
      <c r="M68" s="5">
        <v>65</v>
      </c>
      <c r="N68" s="5" t="s">
        <v>49</v>
      </c>
      <c r="O68" s="5" t="s">
        <v>15</v>
      </c>
    </row>
    <row r="69" spans="1:15" x14ac:dyDescent="0.2">
      <c r="A69" s="4">
        <v>6</v>
      </c>
      <c r="B69" s="5" t="s">
        <v>13</v>
      </c>
      <c r="C69" s="5">
        <v>0</v>
      </c>
      <c r="D69" s="5" t="s">
        <v>31</v>
      </c>
      <c r="E69" s="5">
        <v>6</v>
      </c>
      <c r="F69" s="5" t="s">
        <v>13</v>
      </c>
      <c r="G69" s="5">
        <v>1</v>
      </c>
      <c r="H69" s="5">
        <v>14</v>
      </c>
      <c r="I69" s="5">
        <v>0</v>
      </c>
      <c r="J69" s="5">
        <v>12</v>
      </c>
      <c r="K69" s="5">
        <v>0</v>
      </c>
      <c r="L69" s="5">
        <v>24</v>
      </c>
      <c r="M69" s="5">
        <v>89</v>
      </c>
      <c r="N69" s="5" t="s">
        <v>49</v>
      </c>
      <c r="O69" s="5" t="s">
        <v>15</v>
      </c>
    </row>
    <row r="70" spans="1:15" x14ac:dyDescent="0.2">
      <c r="A70" s="4">
        <v>7</v>
      </c>
      <c r="B70" s="5" t="s">
        <v>13</v>
      </c>
      <c r="C70" s="5">
        <v>0</v>
      </c>
      <c r="D70" s="5" t="s">
        <v>29</v>
      </c>
      <c r="E70" s="5">
        <v>7</v>
      </c>
      <c r="F70" s="5" t="s">
        <v>13</v>
      </c>
      <c r="G70" s="5">
        <v>2</v>
      </c>
      <c r="H70" s="5">
        <v>11</v>
      </c>
      <c r="I70" s="5">
        <v>0</v>
      </c>
      <c r="J70" s="5">
        <v>10</v>
      </c>
      <c r="K70" s="5">
        <v>0</v>
      </c>
      <c r="L70" s="5">
        <v>20</v>
      </c>
      <c r="M70" s="5">
        <v>109</v>
      </c>
      <c r="N70" s="5" t="s">
        <v>49</v>
      </c>
      <c r="O70" s="5" t="s">
        <v>15</v>
      </c>
    </row>
    <row r="71" spans="1:15" x14ac:dyDescent="0.2">
      <c r="A71" s="4">
        <v>8</v>
      </c>
      <c r="B71" s="5" t="s">
        <v>13</v>
      </c>
      <c r="C71" s="5">
        <v>0</v>
      </c>
      <c r="D71" s="5" t="s">
        <v>47</v>
      </c>
      <c r="E71" s="5">
        <v>8</v>
      </c>
      <c r="F71" s="5" t="s">
        <v>13</v>
      </c>
      <c r="G71" s="5">
        <v>1</v>
      </c>
      <c r="H71" s="5">
        <v>11</v>
      </c>
      <c r="I71" s="5">
        <v>0</v>
      </c>
      <c r="J71" s="5">
        <v>9</v>
      </c>
      <c r="K71" s="5">
        <v>0</v>
      </c>
      <c r="L71" s="5">
        <v>18</v>
      </c>
      <c r="M71" s="5">
        <v>127</v>
      </c>
      <c r="N71" s="5" t="s">
        <v>49</v>
      </c>
      <c r="O71" s="5" t="s">
        <v>15</v>
      </c>
    </row>
    <row r="72" spans="1:15" x14ac:dyDescent="0.2">
      <c r="A72" s="4">
        <v>9</v>
      </c>
      <c r="B72" s="5" t="s">
        <v>13</v>
      </c>
      <c r="C72" s="5">
        <v>0</v>
      </c>
      <c r="D72" s="5" t="s">
        <v>32</v>
      </c>
      <c r="E72" s="5">
        <v>9</v>
      </c>
      <c r="F72" s="5" t="s">
        <v>13</v>
      </c>
      <c r="G72" s="5">
        <v>3</v>
      </c>
      <c r="H72" s="5">
        <v>9</v>
      </c>
      <c r="I72" s="5">
        <v>0</v>
      </c>
      <c r="J72" s="5">
        <v>8</v>
      </c>
      <c r="K72" s="5">
        <v>0</v>
      </c>
      <c r="L72" s="5">
        <v>16</v>
      </c>
      <c r="M72" s="5">
        <v>143</v>
      </c>
      <c r="N72" s="5" t="s">
        <v>49</v>
      </c>
      <c r="O72" s="5" t="s">
        <v>15</v>
      </c>
    </row>
    <row r="73" spans="1:15" x14ac:dyDescent="0.2">
      <c r="A73" s="4">
        <v>10</v>
      </c>
      <c r="B73" s="5" t="s">
        <v>13</v>
      </c>
      <c r="C73" s="5">
        <v>0</v>
      </c>
      <c r="D73" s="5" t="s">
        <v>48</v>
      </c>
      <c r="E73" s="5">
        <v>10</v>
      </c>
      <c r="F73" s="5" t="s">
        <v>13</v>
      </c>
      <c r="G73" s="5">
        <v>0</v>
      </c>
      <c r="H73" s="5">
        <v>14</v>
      </c>
      <c r="I73" s="5">
        <v>0</v>
      </c>
      <c r="J73" s="5">
        <v>11</v>
      </c>
      <c r="K73" s="5">
        <v>0</v>
      </c>
      <c r="L73" s="5">
        <v>22</v>
      </c>
      <c r="M73" s="5">
        <v>165</v>
      </c>
      <c r="N73" s="5" t="s">
        <v>49</v>
      </c>
      <c r="O73" s="5" t="s">
        <v>15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DD30-86A1-2641-AF15-AEB4B7DE499D}">
  <dimension ref="A1:P81"/>
  <sheetViews>
    <sheetView topLeftCell="A5" workbookViewId="0">
      <selection activeCell="D13" sqref="D13"/>
    </sheetView>
  </sheetViews>
  <sheetFormatPr baseColWidth="10" defaultRowHeight="16" x14ac:dyDescent="0.2"/>
  <cols>
    <col min="3" max="3" width="12.33203125" customWidth="1"/>
    <col min="4" max="4" width="21" customWidth="1"/>
    <col min="6" max="6" width="14" customWidth="1"/>
    <col min="7" max="7" width="19.6640625" customWidth="1"/>
    <col min="8" max="8" width="15.6640625" customWidth="1"/>
    <col min="9" max="9" width="22.33203125" customWidth="1"/>
    <col min="10" max="10" width="18.1640625" customWidth="1"/>
    <col min="11" max="11" width="18.83203125" customWidth="1"/>
    <col min="12" max="12" width="21.33203125" customWidth="1"/>
    <col min="13" max="13" width="16.33203125" customWidth="1"/>
    <col min="14" max="14" width="16.6640625" customWidth="1"/>
    <col min="15" max="15" width="12.5" customWidth="1"/>
  </cols>
  <sheetData>
    <row r="1" spans="1:15" ht="22" x14ac:dyDescent="0.3">
      <c r="H1" s="2" t="s">
        <v>67</v>
      </c>
    </row>
    <row r="2" spans="1:15" ht="22" x14ac:dyDescent="0.3">
      <c r="H2" s="2" t="s">
        <v>43</v>
      </c>
    </row>
    <row r="4" spans="1:15" s="6" customFormat="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37</v>
      </c>
      <c r="F4" s="4" t="s">
        <v>38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15" s="6" customFormat="1" x14ac:dyDescent="0.2">
      <c r="A5" s="4">
        <v>0</v>
      </c>
      <c r="B5" s="5" t="s">
        <v>13</v>
      </c>
      <c r="C5" s="5">
        <v>10</v>
      </c>
      <c r="D5" s="5" t="s">
        <v>14</v>
      </c>
      <c r="E5" s="5">
        <v>0</v>
      </c>
      <c r="F5" s="5" t="s">
        <v>13</v>
      </c>
      <c r="G5" s="1"/>
      <c r="H5" s="1"/>
      <c r="I5" s="1"/>
      <c r="J5" s="1"/>
      <c r="K5" s="1"/>
      <c r="L5" s="1"/>
      <c r="M5" s="5">
        <v>0</v>
      </c>
      <c r="N5" s="5" t="s">
        <v>49</v>
      </c>
      <c r="O5" s="5" t="s">
        <v>15</v>
      </c>
    </row>
    <row r="6" spans="1:15" s="6" customFormat="1" x14ac:dyDescent="0.2">
      <c r="A6" s="4">
        <v>1</v>
      </c>
      <c r="B6" s="5" t="s">
        <v>13</v>
      </c>
      <c r="C6" s="5">
        <v>10</v>
      </c>
      <c r="D6" s="5" t="s">
        <v>50</v>
      </c>
      <c r="E6" s="5">
        <v>1</v>
      </c>
      <c r="F6" s="5" t="s">
        <v>13</v>
      </c>
      <c r="G6" s="5">
        <v>20</v>
      </c>
      <c r="H6" s="5">
        <v>9</v>
      </c>
      <c r="I6" s="5">
        <v>6</v>
      </c>
      <c r="J6" s="5">
        <v>0</v>
      </c>
      <c r="K6" s="5">
        <v>6</v>
      </c>
      <c r="L6" s="5">
        <v>0</v>
      </c>
      <c r="M6" s="5">
        <v>6</v>
      </c>
      <c r="N6" s="5" t="s">
        <v>49</v>
      </c>
      <c r="O6" s="5" t="s">
        <v>15</v>
      </c>
    </row>
    <row r="7" spans="1:15" s="6" customFormat="1" x14ac:dyDescent="0.2">
      <c r="A7" s="4">
        <v>2</v>
      </c>
      <c r="B7" s="5" t="s">
        <v>13</v>
      </c>
      <c r="C7" s="5">
        <v>6</v>
      </c>
      <c r="D7" s="5" t="s">
        <v>51</v>
      </c>
      <c r="E7" s="5">
        <v>2</v>
      </c>
      <c r="F7" s="5" t="s">
        <v>13</v>
      </c>
      <c r="G7" s="5">
        <v>25</v>
      </c>
      <c r="H7" s="5">
        <v>9</v>
      </c>
      <c r="I7" s="5">
        <v>17</v>
      </c>
      <c r="J7" s="5">
        <v>0</v>
      </c>
      <c r="K7" s="5">
        <v>17</v>
      </c>
      <c r="L7" s="5">
        <v>0</v>
      </c>
      <c r="M7" s="5">
        <v>23</v>
      </c>
      <c r="N7" s="5" t="s">
        <v>49</v>
      </c>
      <c r="O7" s="5" t="s">
        <v>15</v>
      </c>
    </row>
    <row r="8" spans="1:15" s="6" customFormat="1" x14ac:dyDescent="0.2">
      <c r="A8" s="4">
        <v>3</v>
      </c>
      <c r="B8" s="5" t="s">
        <v>13</v>
      </c>
      <c r="C8" s="5">
        <v>17</v>
      </c>
      <c r="D8" s="5" t="s">
        <v>52</v>
      </c>
      <c r="E8" s="5">
        <v>3</v>
      </c>
      <c r="F8" s="5" t="s">
        <v>13</v>
      </c>
      <c r="G8" s="5">
        <v>15</v>
      </c>
      <c r="H8" s="5">
        <v>10</v>
      </c>
      <c r="I8" s="5">
        <v>32</v>
      </c>
      <c r="J8" s="5">
        <v>0</v>
      </c>
      <c r="K8" s="5">
        <v>32</v>
      </c>
      <c r="L8" s="5">
        <v>0</v>
      </c>
      <c r="M8" s="5">
        <v>55</v>
      </c>
      <c r="N8" s="5" t="s">
        <v>49</v>
      </c>
      <c r="O8" s="5" t="s">
        <v>15</v>
      </c>
    </row>
    <row r="9" spans="1:15" s="6" customFormat="1" x14ac:dyDescent="0.2">
      <c r="A9" s="4">
        <v>4</v>
      </c>
      <c r="B9" s="5" t="s">
        <v>13</v>
      </c>
      <c r="C9" s="5">
        <v>32</v>
      </c>
      <c r="D9" s="5" t="s">
        <v>53</v>
      </c>
      <c r="E9" s="5">
        <v>4</v>
      </c>
      <c r="F9" s="5" t="s">
        <v>13</v>
      </c>
      <c r="G9" s="5">
        <v>20</v>
      </c>
      <c r="H9" s="5">
        <v>11</v>
      </c>
      <c r="I9" s="5">
        <v>36</v>
      </c>
      <c r="J9" s="5">
        <v>0</v>
      </c>
      <c r="K9" s="5">
        <v>36</v>
      </c>
      <c r="L9" s="5">
        <v>0</v>
      </c>
      <c r="M9" s="5">
        <v>91</v>
      </c>
      <c r="N9" s="5" t="s">
        <v>49</v>
      </c>
      <c r="O9" s="5" t="s">
        <v>15</v>
      </c>
    </row>
    <row r="10" spans="1:15" s="6" customFormat="1" x14ac:dyDescent="0.2">
      <c r="A10" s="4">
        <v>5</v>
      </c>
      <c r="B10" s="5" t="s">
        <v>13</v>
      </c>
      <c r="C10" s="5">
        <v>36</v>
      </c>
      <c r="D10" s="5" t="s">
        <v>54</v>
      </c>
      <c r="E10" s="5">
        <v>5</v>
      </c>
      <c r="F10" s="5" t="s">
        <v>13</v>
      </c>
      <c r="G10" s="5">
        <v>20</v>
      </c>
      <c r="H10" s="5">
        <v>11</v>
      </c>
      <c r="I10" s="5">
        <v>45</v>
      </c>
      <c r="J10" s="5">
        <v>0</v>
      </c>
      <c r="K10" s="5">
        <v>45</v>
      </c>
      <c r="L10" s="5">
        <v>0</v>
      </c>
      <c r="M10" s="5">
        <v>136</v>
      </c>
      <c r="N10" s="5" t="s">
        <v>49</v>
      </c>
      <c r="O10" s="5" t="s">
        <v>15</v>
      </c>
    </row>
    <row r="11" spans="1:15" s="6" customFormat="1" x14ac:dyDescent="0.2">
      <c r="A11" s="4">
        <v>6</v>
      </c>
      <c r="B11" s="5" t="s">
        <v>13</v>
      </c>
      <c r="C11" s="5">
        <v>45</v>
      </c>
      <c r="D11" s="5" t="s">
        <v>55</v>
      </c>
      <c r="E11" s="5">
        <v>6</v>
      </c>
      <c r="F11" s="5" t="s">
        <v>13</v>
      </c>
      <c r="G11" s="5">
        <v>20</v>
      </c>
      <c r="H11" s="5">
        <v>13</v>
      </c>
      <c r="I11" s="5">
        <v>52</v>
      </c>
      <c r="J11" s="5">
        <v>0</v>
      </c>
      <c r="K11" s="5">
        <v>52</v>
      </c>
      <c r="L11" s="5">
        <v>0</v>
      </c>
      <c r="M11" s="5">
        <v>188</v>
      </c>
      <c r="N11" s="5" t="s">
        <v>49</v>
      </c>
      <c r="O11" s="5" t="s">
        <v>15</v>
      </c>
    </row>
    <row r="12" spans="1:15" s="6" customFormat="1" x14ac:dyDescent="0.2">
      <c r="A12" s="4">
        <v>7</v>
      </c>
      <c r="B12" s="5" t="s">
        <v>13</v>
      </c>
      <c r="C12" s="5">
        <v>52</v>
      </c>
      <c r="D12" s="5" t="s">
        <v>56</v>
      </c>
      <c r="E12" s="5">
        <v>7</v>
      </c>
      <c r="F12" s="5" t="s">
        <v>13</v>
      </c>
      <c r="G12" s="5">
        <v>20</v>
      </c>
      <c r="H12" s="5">
        <v>10</v>
      </c>
      <c r="I12" s="5">
        <v>62</v>
      </c>
      <c r="J12" s="5">
        <v>0</v>
      </c>
      <c r="K12" s="5">
        <v>62</v>
      </c>
      <c r="L12" s="5">
        <v>0</v>
      </c>
      <c r="M12" s="5">
        <v>250</v>
      </c>
      <c r="N12" s="5" t="s">
        <v>49</v>
      </c>
      <c r="O12" s="5" t="s">
        <v>15</v>
      </c>
    </row>
    <row r="13" spans="1:15" s="6" customFormat="1" x14ac:dyDescent="0.2">
      <c r="A13" s="4">
        <v>8</v>
      </c>
      <c r="B13" s="5" t="s">
        <v>13</v>
      </c>
      <c r="C13" s="5">
        <v>62</v>
      </c>
      <c r="D13" s="5" t="s">
        <v>57</v>
      </c>
      <c r="E13" s="5">
        <v>8</v>
      </c>
      <c r="F13" s="5" t="s">
        <v>13</v>
      </c>
      <c r="G13" s="5">
        <v>20</v>
      </c>
      <c r="H13" s="5">
        <v>13</v>
      </c>
      <c r="I13" s="5">
        <v>69</v>
      </c>
      <c r="J13" s="5">
        <v>0</v>
      </c>
      <c r="K13" s="5">
        <v>69</v>
      </c>
      <c r="L13" s="5">
        <v>0</v>
      </c>
      <c r="M13" s="5">
        <v>319</v>
      </c>
      <c r="N13" s="5" t="s">
        <v>49</v>
      </c>
      <c r="O13" s="5" t="s">
        <v>15</v>
      </c>
    </row>
    <row r="14" spans="1:15" s="6" customFormat="1" x14ac:dyDescent="0.2">
      <c r="A14" s="4">
        <v>9</v>
      </c>
      <c r="B14" s="5" t="s">
        <v>13</v>
      </c>
      <c r="C14" s="5">
        <v>69</v>
      </c>
      <c r="D14" s="5" t="s">
        <v>58</v>
      </c>
      <c r="E14" s="5">
        <v>9</v>
      </c>
      <c r="F14" s="5" t="s">
        <v>13</v>
      </c>
      <c r="G14" s="5">
        <v>20</v>
      </c>
      <c r="H14" s="5">
        <v>12</v>
      </c>
      <c r="I14" s="5">
        <v>77</v>
      </c>
      <c r="J14" s="5">
        <v>0</v>
      </c>
      <c r="K14" s="5">
        <v>77</v>
      </c>
      <c r="L14" s="5">
        <v>0</v>
      </c>
      <c r="M14" s="5">
        <v>396</v>
      </c>
      <c r="N14" s="5" t="s">
        <v>49</v>
      </c>
      <c r="O14" s="5" t="s">
        <v>15</v>
      </c>
    </row>
    <row r="15" spans="1:15" s="6" customFormat="1" x14ac:dyDescent="0.2">
      <c r="A15" s="4">
        <v>10</v>
      </c>
      <c r="B15" s="5" t="s">
        <v>13</v>
      </c>
      <c r="C15" s="5">
        <v>77</v>
      </c>
      <c r="D15" s="5" t="s">
        <v>59</v>
      </c>
      <c r="E15" s="5">
        <v>10</v>
      </c>
      <c r="F15" s="5" t="s">
        <v>13</v>
      </c>
      <c r="G15" s="5">
        <v>20</v>
      </c>
      <c r="H15" s="5">
        <v>10</v>
      </c>
      <c r="I15" s="5">
        <v>87</v>
      </c>
      <c r="J15" s="5">
        <v>0</v>
      </c>
      <c r="K15" s="5">
        <v>87</v>
      </c>
      <c r="L15" s="5">
        <v>0</v>
      </c>
      <c r="M15" s="5">
        <v>483</v>
      </c>
      <c r="N15" s="5" t="s">
        <v>49</v>
      </c>
      <c r="O15" s="5" t="s">
        <v>15</v>
      </c>
    </row>
    <row r="17" spans="1:15" ht="22" x14ac:dyDescent="0.3">
      <c r="H17" s="2" t="s">
        <v>41</v>
      </c>
    </row>
    <row r="19" spans="1:15" s="6" customFormat="1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37</v>
      </c>
      <c r="F19" s="4" t="s">
        <v>38</v>
      </c>
      <c r="G19" s="4" t="s">
        <v>4</v>
      </c>
      <c r="H19" s="4" t="s">
        <v>5</v>
      </c>
      <c r="I19" s="4" t="s">
        <v>6</v>
      </c>
      <c r="J19" s="4" t="s">
        <v>7</v>
      </c>
      <c r="K19" s="4" t="s">
        <v>8</v>
      </c>
      <c r="L19" s="4" t="s">
        <v>9</v>
      </c>
      <c r="M19" s="4" t="s">
        <v>10</v>
      </c>
      <c r="N19" s="4" t="s">
        <v>11</v>
      </c>
      <c r="O19" s="4" t="s">
        <v>12</v>
      </c>
    </row>
    <row r="20" spans="1:15" s="6" customFormat="1" x14ac:dyDescent="0.2">
      <c r="A20" s="4">
        <v>0</v>
      </c>
      <c r="B20" s="5" t="s">
        <v>13</v>
      </c>
      <c r="C20" s="5">
        <v>10</v>
      </c>
      <c r="D20" s="5" t="s">
        <v>14</v>
      </c>
      <c r="E20" s="5">
        <v>0</v>
      </c>
      <c r="F20" s="5" t="s">
        <v>13</v>
      </c>
      <c r="G20" s="1"/>
      <c r="H20" s="1"/>
      <c r="I20" s="1"/>
      <c r="J20" s="1"/>
      <c r="K20" s="1"/>
      <c r="L20" s="1"/>
      <c r="M20" s="5">
        <v>0</v>
      </c>
      <c r="N20" s="5" t="s">
        <v>49</v>
      </c>
      <c r="O20" s="5" t="s">
        <v>15</v>
      </c>
    </row>
    <row r="21" spans="1:15" s="6" customFormat="1" x14ac:dyDescent="0.2">
      <c r="A21" s="4">
        <v>1</v>
      </c>
      <c r="B21" s="5" t="s">
        <v>13</v>
      </c>
      <c r="C21" s="5">
        <v>10</v>
      </c>
      <c r="D21" s="5" t="s">
        <v>50</v>
      </c>
      <c r="E21" s="5">
        <v>1</v>
      </c>
      <c r="F21" s="5" t="s">
        <v>13</v>
      </c>
      <c r="G21" s="5">
        <v>20</v>
      </c>
      <c r="H21" s="5">
        <v>13</v>
      </c>
      <c r="I21" s="5">
        <v>2</v>
      </c>
      <c r="J21" s="5">
        <v>0</v>
      </c>
      <c r="K21" s="5">
        <v>2</v>
      </c>
      <c r="L21" s="5">
        <v>0</v>
      </c>
      <c r="M21" s="5">
        <v>2</v>
      </c>
      <c r="N21" s="5" t="s">
        <v>49</v>
      </c>
      <c r="O21" s="5" t="s">
        <v>15</v>
      </c>
    </row>
    <row r="22" spans="1:15" s="6" customFormat="1" x14ac:dyDescent="0.2">
      <c r="A22" s="4">
        <v>2</v>
      </c>
      <c r="B22" s="5" t="s">
        <v>13</v>
      </c>
      <c r="C22" s="5">
        <v>2</v>
      </c>
      <c r="D22" s="5" t="s">
        <v>60</v>
      </c>
      <c r="E22" s="5">
        <v>2</v>
      </c>
      <c r="F22" s="5" t="s">
        <v>13</v>
      </c>
      <c r="G22" s="5">
        <v>20</v>
      </c>
      <c r="H22" s="5">
        <v>13</v>
      </c>
      <c r="I22" s="5">
        <v>9</v>
      </c>
      <c r="J22" s="5">
        <v>0</v>
      </c>
      <c r="K22" s="5">
        <v>9</v>
      </c>
      <c r="L22" s="5">
        <v>0</v>
      </c>
      <c r="M22" s="5">
        <v>11</v>
      </c>
      <c r="N22" s="5" t="s">
        <v>49</v>
      </c>
      <c r="O22" s="5" t="s">
        <v>15</v>
      </c>
    </row>
    <row r="23" spans="1:15" s="6" customFormat="1" x14ac:dyDescent="0.2">
      <c r="A23" s="4">
        <v>3</v>
      </c>
      <c r="B23" s="5" t="s">
        <v>13</v>
      </c>
      <c r="C23" s="5">
        <v>9</v>
      </c>
      <c r="D23" s="5" t="s">
        <v>61</v>
      </c>
      <c r="E23" s="5">
        <v>3</v>
      </c>
      <c r="F23" s="5" t="s">
        <v>13</v>
      </c>
      <c r="G23" s="5">
        <v>20</v>
      </c>
      <c r="H23" s="5">
        <v>10</v>
      </c>
      <c r="I23" s="5">
        <v>19</v>
      </c>
      <c r="J23" s="5">
        <v>0</v>
      </c>
      <c r="K23" s="5">
        <v>19</v>
      </c>
      <c r="L23" s="5">
        <v>0</v>
      </c>
      <c r="M23" s="5">
        <v>30</v>
      </c>
      <c r="N23" s="5" t="s">
        <v>49</v>
      </c>
      <c r="O23" s="5" t="s">
        <v>15</v>
      </c>
    </row>
    <row r="24" spans="1:15" s="6" customFormat="1" x14ac:dyDescent="0.2">
      <c r="A24" s="4">
        <v>4</v>
      </c>
      <c r="B24" s="5" t="s">
        <v>13</v>
      </c>
      <c r="C24" s="5">
        <v>19</v>
      </c>
      <c r="D24" s="5" t="s">
        <v>53</v>
      </c>
      <c r="E24" s="5">
        <v>4</v>
      </c>
      <c r="F24" s="5" t="s">
        <v>13</v>
      </c>
      <c r="G24" s="5">
        <v>20</v>
      </c>
      <c r="H24" s="5">
        <v>9</v>
      </c>
      <c r="I24" s="5">
        <v>30</v>
      </c>
      <c r="J24" s="5">
        <v>0</v>
      </c>
      <c r="K24" s="5">
        <v>30</v>
      </c>
      <c r="L24" s="5">
        <v>0</v>
      </c>
      <c r="M24" s="5">
        <v>60</v>
      </c>
      <c r="N24" s="5" t="s">
        <v>49</v>
      </c>
      <c r="O24" s="5" t="s">
        <v>15</v>
      </c>
    </row>
    <row r="25" spans="1:15" s="6" customFormat="1" x14ac:dyDescent="0.2">
      <c r="A25" s="4">
        <v>5</v>
      </c>
      <c r="B25" s="5" t="s">
        <v>13</v>
      </c>
      <c r="C25" s="5">
        <v>30</v>
      </c>
      <c r="D25" s="5" t="s">
        <v>54</v>
      </c>
      <c r="E25" s="5">
        <v>5</v>
      </c>
      <c r="F25" s="5" t="s">
        <v>13</v>
      </c>
      <c r="G25" s="5">
        <v>20</v>
      </c>
      <c r="H25" s="5">
        <v>12</v>
      </c>
      <c r="I25" s="5">
        <v>38</v>
      </c>
      <c r="J25" s="5">
        <v>0</v>
      </c>
      <c r="K25" s="5">
        <v>38</v>
      </c>
      <c r="L25" s="5">
        <v>0</v>
      </c>
      <c r="M25" s="5">
        <v>98</v>
      </c>
      <c r="N25" s="5" t="s">
        <v>49</v>
      </c>
      <c r="O25" s="5" t="s">
        <v>15</v>
      </c>
    </row>
    <row r="26" spans="1:15" s="6" customFormat="1" x14ac:dyDescent="0.2">
      <c r="A26" s="4">
        <v>6</v>
      </c>
      <c r="B26" s="5" t="s">
        <v>13</v>
      </c>
      <c r="C26" s="5">
        <v>38</v>
      </c>
      <c r="D26" s="5" t="s">
        <v>55</v>
      </c>
      <c r="E26" s="5">
        <v>6</v>
      </c>
      <c r="F26" s="5" t="s">
        <v>13</v>
      </c>
      <c r="G26" s="5">
        <v>20</v>
      </c>
      <c r="H26" s="5">
        <v>9</v>
      </c>
      <c r="I26" s="5">
        <v>49</v>
      </c>
      <c r="J26" s="5">
        <v>0</v>
      </c>
      <c r="K26" s="5">
        <v>49</v>
      </c>
      <c r="L26" s="5">
        <v>0</v>
      </c>
      <c r="M26" s="5">
        <v>147</v>
      </c>
      <c r="N26" s="5" t="s">
        <v>49</v>
      </c>
      <c r="O26" s="5" t="s">
        <v>15</v>
      </c>
    </row>
    <row r="27" spans="1:15" s="6" customFormat="1" x14ac:dyDescent="0.2">
      <c r="A27" s="4">
        <v>7</v>
      </c>
      <c r="B27" s="5" t="s">
        <v>13</v>
      </c>
      <c r="C27" s="5">
        <v>49</v>
      </c>
      <c r="D27" s="5" t="s">
        <v>56</v>
      </c>
      <c r="E27" s="5">
        <v>7</v>
      </c>
      <c r="F27" s="5" t="s">
        <v>13</v>
      </c>
      <c r="G27" s="5">
        <v>20</v>
      </c>
      <c r="H27" s="5">
        <v>14</v>
      </c>
      <c r="I27" s="5">
        <v>55</v>
      </c>
      <c r="J27" s="5">
        <v>0</v>
      </c>
      <c r="K27" s="5">
        <v>55</v>
      </c>
      <c r="L27" s="5">
        <v>0</v>
      </c>
      <c r="M27" s="5">
        <v>202</v>
      </c>
      <c r="N27" s="5" t="s">
        <v>49</v>
      </c>
      <c r="O27" s="5" t="s">
        <v>15</v>
      </c>
    </row>
    <row r="28" spans="1:15" s="6" customFormat="1" x14ac:dyDescent="0.2">
      <c r="A28" s="4">
        <v>8</v>
      </c>
      <c r="B28" s="5" t="s">
        <v>13</v>
      </c>
      <c r="C28" s="5">
        <v>55</v>
      </c>
      <c r="D28" s="5" t="s">
        <v>57</v>
      </c>
      <c r="E28" s="5">
        <v>8</v>
      </c>
      <c r="F28" s="5" t="s">
        <v>13</v>
      </c>
      <c r="G28" s="5">
        <v>20</v>
      </c>
      <c r="H28" s="5">
        <v>9</v>
      </c>
      <c r="I28" s="5">
        <v>66</v>
      </c>
      <c r="J28" s="5">
        <v>0</v>
      </c>
      <c r="K28" s="5">
        <v>66</v>
      </c>
      <c r="L28" s="5">
        <v>0</v>
      </c>
      <c r="M28" s="5">
        <v>268</v>
      </c>
      <c r="N28" s="5" t="s">
        <v>49</v>
      </c>
      <c r="O28" s="5" t="s">
        <v>15</v>
      </c>
    </row>
    <row r="29" spans="1:15" s="6" customFormat="1" x14ac:dyDescent="0.2">
      <c r="A29" s="4">
        <v>9</v>
      </c>
      <c r="B29" s="5" t="s">
        <v>13</v>
      </c>
      <c r="C29" s="5">
        <v>66</v>
      </c>
      <c r="D29" s="5" t="s">
        <v>58</v>
      </c>
      <c r="E29" s="5">
        <v>9</v>
      </c>
      <c r="F29" s="5" t="s">
        <v>13</v>
      </c>
      <c r="G29" s="5">
        <v>20</v>
      </c>
      <c r="H29" s="5">
        <v>13</v>
      </c>
      <c r="I29" s="5">
        <v>73</v>
      </c>
      <c r="J29" s="5">
        <v>0</v>
      </c>
      <c r="K29" s="5">
        <v>73</v>
      </c>
      <c r="L29" s="5">
        <v>0</v>
      </c>
      <c r="M29" s="5">
        <v>341</v>
      </c>
      <c r="N29" s="5" t="s">
        <v>49</v>
      </c>
      <c r="O29" s="5" t="s">
        <v>15</v>
      </c>
    </row>
    <row r="30" spans="1:15" s="6" customFormat="1" x14ac:dyDescent="0.2">
      <c r="A30" s="4">
        <v>10</v>
      </c>
      <c r="B30" s="5" t="s">
        <v>13</v>
      </c>
      <c r="C30" s="5">
        <v>73</v>
      </c>
      <c r="D30" s="5" t="s">
        <v>59</v>
      </c>
      <c r="E30" s="5">
        <v>10</v>
      </c>
      <c r="F30" s="5" t="s">
        <v>13</v>
      </c>
      <c r="G30" s="5">
        <v>20</v>
      </c>
      <c r="H30" s="5">
        <v>12</v>
      </c>
      <c r="I30" s="5">
        <v>81</v>
      </c>
      <c r="J30" s="5">
        <v>0</v>
      </c>
      <c r="K30" s="5">
        <v>81</v>
      </c>
      <c r="L30" s="5">
        <v>0</v>
      </c>
      <c r="M30" s="5">
        <v>422</v>
      </c>
      <c r="N30" s="5" t="s">
        <v>49</v>
      </c>
      <c r="O30" s="5" t="s">
        <v>15</v>
      </c>
    </row>
    <row r="32" spans="1:15" ht="22" x14ac:dyDescent="0.3">
      <c r="H32" s="3" t="s">
        <v>42</v>
      </c>
    </row>
    <row r="34" spans="1:15" s="6" customFormat="1" x14ac:dyDescent="0.2">
      <c r="A34" s="4" t="s">
        <v>0</v>
      </c>
      <c r="B34" s="4" t="s">
        <v>1</v>
      </c>
      <c r="C34" s="4" t="s">
        <v>2</v>
      </c>
      <c r="D34" s="4" t="s">
        <v>3</v>
      </c>
      <c r="E34" s="4" t="s">
        <v>37</v>
      </c>
      <c r="F34" s="4" t="s">
        <v>38</v>
      </c>
      <c r="G34" s="4" t="s">
        <v>4</v>
      </c>
      <c r="H34" s="4" t="s">
        <v>5</v>
      </c>
      <c r="I34" s="4" t="s">
        <v>6</v>
      </c>
      <c r="J34" s="4" t="s">
        <v>7</v>
      </c>
      <c r="K34" s="4" t="s">
        <v>8</v>
      </c>
      <c r="L34" s="4" t="s">
        <v>9</v>
      </c>
      <c r="M34" s="4" t="s">
        <v>10</v>
      </c>
      <c r="N34" s="4" t="s">
        <v>11</v>
      </c>
      <c r="O34" s="4" t="s">
        <v>12</v>
      </c>
    </row>
    <row r="35" spans="1:15" s="6" customFormat="1" x14ac:dyDescent="0.2">
      <c r="A35" s="4">
        <v>0</v>
      </c>
      <c r="B35" s="5" t="s">
        <v>13</v>
      </c>
      <c r="C35" s="5">
        <v>10</v>
      </c>
      <c r="D35" s="5" t="s">
        <v>14</v>
      </c>
      <c r="E35" s="5">
        <v>0</v>
      </c>
      <c r="F35" s="5" t="s">
        <v>13</v>
      </c>
      <c r="G35" s="1"/>
      <c r="H35" s="1"/>
      <c r="I35" s="1"/>
      <c r="J35" s="1"/>
      <c r="K35" s="1"/>
      <c r="L35" s="1"/>
      <c r="M35" s="5">
        <v>0</v>
      </c>
      <c r="N35" s="5" t="s">
        <v>49</v>
      </c>
      <c r="O35" s="5" t="s">
        <v>15</v>
      </c>
    </row>
    <row r="36" spans="1:15" s="6" customFormat="1" x14ac:dyDescent="0.2">
      <c r="A36" s="4">
        <v>1</v>
      </c>
      <c r="B36" s="5" t="s">
        <v>13</v>
      </c>
      <c r="C36" s="5">
        <v>10</v>
      </c>
      <c r="D36" s="5" t="s">
        <v>50</v>
      </c>
      <c r="E36" s="5">
        <v>1</v>
      </c>
      <c r="F36" s="5" t="s">
        <v>13</v>
      </c>
      <c r="G36" s="5">
        <v>20</v>
      </c>
      <c r="H36" s="5">
        <v>10</v>
      </c>
      <c r="I36" s="5">
        <v>5</v>
      </c>
      <c r="J36" s="5">
        <v>0</v>
      </c>
      <c r="K36" s="5">
        <v>5</v>
      </c>
      <c r="L36" s="5">
        <v>0</v>
      </c>
      <c r="M36" s="5">
        <v>5</v>
      </c>
      <c r="N36" s="5" t="s">
        <v>49</v>
      </c>
      <c r="O36" s="5" t="s">
        <v>15</v>
      </c>
    </row>
    <row r="37" spans="1:15" s="6" customFormat="1" x14ac:dyDescent="0.2">
      <c r="A37" s="4">
        <v>2</v>
      </c>
      <c r="B37" s="5" t="s">
        <v>13</v>
      </c>
      <c r="C37" s="5">
        <v>5</v>
      </c>
      <c r="D37" s="5" t="s">
        <v>64</v>
      </c>
      <c r="E37" s="5">
        <v>2</v>
      </c>
      <c r="F37" s="5" t="s">
        <v>13</v>
      </c>
      <c r="G37" s="5">
        <v>45</v>
      </c>
      <c r="H37" s="5">
        <v>14</v>
      </c>
      <c r="I37" s="5">
        <v>11</v>
      </c>
      <c r="J37" s="5">
        <v>0</v>
      </c>
      <c r="K37" s="5">
        <v>11</v>
      </c>
      <c r="L37" s="5">
        <v>0</v>
      </c>
      <c r="M37" s="5">
        <v>16</v>
      </c>
      <c r="N37" s="5" t="s">
        <v>49</v>
      </c>
      <c r="O37" s="5" t="s">
        <v>15</v>
      </c>
    </row>
    <row r="38" spans="1:15" s="6" customFormat="1" x14ac:dyDescent="0.2">
      <c r="A38" s="4">
        <v>3</v>
      </c>
      <c r="B38" s="5" t="s">
        <v>13</v>
      </c>
      <c r="C38" s="5">
        <v>11</v>
      </c>
      <c r="D38" s="5" t="s">
        <v>61</v>
      </c>
      <c r="E38" s="5">
        <v>3</v>
      </c>
      <c r="F38" s="5" t="s">
        <v>13</v>
      </c>
      <c r="G38" s="5">
        <v>20</v>
      </c>
      <c r="H38" s="5">
        <v>14</v>
      </c>
      <c r="I38" s="5">
        <v>42</v>
      </c>
      <c r="J38" s="5">
        <v>0</v>
      </c>
      <c r="K38" s="5">
        <v>42</v>
      </c>
      <c r="L38" s="5">
        <v>0</v>
      </c>
      <c r="M38" s="5">
        <v>58</v>
      </c>
      <c r="N38" s="5" t="s">
        <v>49</v>
      </c>
      <c r="O38" s="5" t="s">
        <v>15</v>
      </c>
    </row>
    <row r="39" spans="1:15" s="6" customFormat="1" x14ac:dyDescent="0.2">
      <c r="A39" s="4">
        <v>4</v>
      </c>
      <c r="B39" s="5" t="s">
        <v>13</v>
      </c>
      <c r="C39" s="5">
        <v>42</v>
      </c>
      <c r="D39" s="5" t="s">
        <v>53</v>
      </c>
      <c r="E39" s="5">
        <v>4</v>
      </c>
      <c r="F39" s="5" t="s">
        <v>13</v>
      </c>
      <c r="G39" s="5">
        <v>20</v>
      </c>
      <c r="H39" s="5">
        <v>13</v>
      </c>
      <c r="I39" s="5">
        <v>49</v>
      </c>
      <c r="J39" s="5">
        <v>0</v>
      </c>
      <c r="K39" s="5">
        <v>49</v>
      </c>
      <c r="L39" s="5">
        <v>0</v>
      </c>
      <c r="M39" s="5">
        <v>107</v>
      </c>
      <c r="N39" s="5" t="s">
        <v>49</v>
      </c>
      <c r="O39" s="5" t="s">
        <v>15</v>
      </c>
    </row>
    <row r="40" spans="1:15" s="6" customFormat="1" x14ac:dyDescent="0.2">
      <c r="A40" s="4">
        <v>5</v>
      </c>
      <c r="B40" s="5" t="s">
        <v>13</v>
      </c>
      <c r="C40" s="5">
        <v>49</v>
      </c>
      <c r="D40" s="5" t="s">
        <v>54</v>
      </c>
      <c r="E40" s="5">
        <v>5</v>
      </c>
      <c r="F40" s="5" t="s">
        <v>13</v>
      </c>
      <c r="G40" s="5">
        <v>20</v>
      </c>
      <c r="H40" s="5">
        <v>14</v>
      </c>
      <c r="I40" s="5">
        <v>55</v>
      </c>
      <c r="J40" s="5">
        <v>0</v>
      </c>
      <c r="K40" s="5">
        <v>55</v>
      </c>
      <c r="L40" s="5">
        <v>0</v>
      </c>
      <c r="M40" s="5">
        <v>162</v>
      </c>
      <c r="N40" s="5" t="s">
        <v>49</v>
      </c>
      <c r="O40" s="5" t="s">
        <v>15</v>
      </c>
    </row>
    <row r="41" spans="1:15" s="6" customFormat="1" x14ac:dyDescent="0.2">
      <c r="A41" s="4">
        <v>6</v>
      </c>
      <c r="B41" s="5" t="s">
        <v>13</v>
      </c>
      <c r="C41" s="5">
        <v>55</v>
      </c>
      <c r="D41" s="5" t="s">
        <v>65</v>
      </c>
      <c r="E41" s="5">
        <v>6</v>
      </c>
      <c r="F41" s="5" t="s">
        <v>13</v>
      </c>
      <c r="G41" s="5">
        <v>15</v>
      </c>
      <c r="H41" s="5">
        <v>11</v>
      </c>
      <c r="I41" s="5">
        <v>64</v>
      </c>
      <c r="J41" s="5">
        <v>0</v>
      </c>
      <c r="K41" s="5">
        <v>64</v>
      </c>
      <c r="L41" s="5">
        <v>0</v>
      </c>
      <c r="M41" s="5">
        <v>226</v>
      </c>
      <c r="N41" s="5" t="s">
        <v>49</v>
      </c>
      <c r="O41" s="5" t="s">
        <v>15</v>
      </c>
    </row>
    <row r="42" spans="1:15" s="6" customFormat="1" x14ac:dyDescent="0.2">
      <c r="A42" s="4">
        <v>7</v>
      </c>
      <c r="B42" s="5" t="s">
        <v>13</v>
      </c>
      <c r="C42" s="5">
        <v>64</v>
      </c>
      <c r="D42" s="5" t="s">
        <v>56</v>
      </c>
      <c r="E42" s="5">
        <v>7</v>
      </c>
      <c r="F42" s="5" t="s">
        <v>13</v>
      </c>
      <c r="G42" s="5">
        <v>20</v>
      </c>
      <c r="H42" s="5">
        <v>11</v>
      </c>
      <c r="I42" s="5">
        <v>68</v>
      </c>
      <c r="J42" s="5">
        <v>0</v>
      </c>
      <c r="K42" s="5">
        <v>68</v>
      </c>
      <c r="L42" s="5">
        <v>0</v>
      </c>
      <c r="M42" s="5">
        <v>294</v>
      </c>
      <c r="N42" s="5" t="s">
        <v>49</v>
      </c>
      <c r="O42" s="5" t="s">
        <v>15</v>
      </c>
    </row>
    <row r="43" spans="1:15" s="6" customFormat="1" x14ac:dyDescent="0.2">
      <c r="A43" s="4">
        <v>8</v>
      </c>
      <c r="B43" s="5" t="s">
        <v>13</v>
      </c>
      <c r="C43" s="5">
        <v>68</v>
      </c>
      <c r="D43" s="5" t="s">
        <v>57</v>
      </c>
      <c r="E43" s="5">
        <v>8</v>
      </c>
      <c r="F43" s="5" t="s">
        <v>13</v>
      </c>
      <c r="G43" s="5">
        <v>20</v>
      </c>
      <c r="H43" s="5">
        <v>12</v>
      </c>
      <c r="I43" s="5">
        <v>76</v>
      </c>
      <c r="J43" s="5">
        <v>0</v>
      </c>
      <c r="K43" s="5">
        <v>76</v>
      </c>
      <c r="L43" s="5">
        <v>0</v>
      </c>
      <c r="M43" s="5">
        <v>370</v>
      </c>
      <c r="N43" s="5" t="s">
        <v>49</v>
      </c>
      <c r="O43" s="5" t="s">
        <v>15</v>
      </c>
    </row>
    <row r="44" spans="1:15" s="6" customFormat="1" x14ac:dyDescent="0.2">
      <c r="A44" s="4">
        <v>9</v>
      </c>
      <c r="B44" s="5" t="s">
        <v>13</v>
      </c>
      <c r="C44" s="5">
        <v>76</v>
      </c>
      <c r="D44" s="5" t="s">
        <v>66</v>
      </c>
      <c r="E44" s="5">
        <v>9</v>
      </c>
      <c r="F44" s="5" t="s">
        <v>13</v>
      </c>
      <c r="G44" s="5">
        <v>25</v>
      </c>
      <c r="H44" s="5">
        <v>11</v>
      </c>
      <c r="I44" s="5">
        <v>85</v>
      </c>
      <c r="J44" s="5">
        <v>0</v>
      </c>
      <c r="K44" s="5">
        <v>85</v>
      </c>
      <c r="L44" s="5">
        <v>0</v>
      </c>
      <c r="M44" s="5">
        <v>455</v>
      </c>
      <c r="N44" s="5" t="s">
        <v>49</v>
      </c>
      <c r="O44" s="5" t="s">
        <v>15</v>
      </c>
    </row>
    <row r="45" spans="1:15" s="6" customFormat="1" x14ac:dyDescent="0.2">
      <c r="A45" s="4">
        <v>10</v>
      </c>
      <c r="B45" s="5" t="s">
        <v>13</v>
      </c>
      <c r="C45" s="5">
        <v>85</v>
      </c>
      <c r="D45" s="5" t="s">
        <v>59</v>
      </c>
      <c r="E45" s="5">
        <v>10</v>
      </c>
      <c r="F45" s="5" t="s">
        <v>13</v>
      </c>
      <c r="G45" s="5">
        <v>20</v>
      </c>
      <c r="H45" s="5">
        <v>9</v>
      </c>
      <c r="I45" s="5">
        <v>101</v>
      </c>
      <c r="J45" s="5">
        <v>0</v>
      </c>
      <c r="K45" s="5">
        <v>101</v>
      </c>
      <c r="L45" s="5">
        <v>0</v>
      </c>
      <c r="M45" s="5">
        <v>556</v>
      </c>
      <c r="N45" s="5" t="s">
        <v>49</v>
      </c>
      <c r="O45" s="5" t="s">
        <v>15</v>
      </c>
    </row>
    <row r="47" spans="1:15" ht="22" x14ac:dyDescent="0.3">
      <c r="H47" s="3" t="s">
        <v>44</v>
      </c>
    </row>
    <row r="48" spans="1:15" ht="22" x14ac:dyDescent="0.3">
      <c r="H48" s="3"/>
    </row>
    <row r="49" spans="1:16" x14ac:dyDescent="0.2">
      <c r="A49" s="4" t="s">
        <v>0</v>
      </c>
      <c r="B49" s="4" t="s">
        <v>1</v>
      </c>
      <c r="C49" s="4" t="s">
        <v>2</v>
      </c>
      <c r="D49" s="4" t="s">
        <v>3</v>
      </c>
      <c r="E49" s="4" t="s">
        <v>37</v>
      </c>
      <c r="F49" s="4" t="s">
        <v>38</v>
      </c>
      <c r="G49" s="4" t="s">
        <v>4</v>
      </c>
      <c r="H49" s="4" t="s">
        <v>5</v>
      </c>
      <c r="I49" s="4" t="s">
        <v>6</v>
      </c>
      <c r="J49" s="4" t="s">
        <v>7</v>
      </c>
      <c r="K49" s="4" t="s">
        <v>8</v>
      </c>
      <c r="L49" s="4" t="s">
        <v>9</v>
      </c>
      <c r="M49" s="4" t="s">
        <v>10</v>
      </c>
      <c r="N49" s="4" t="s">
        <v>11</v>
      </c>
      <c r="O49" s="4" t="s">
        <v>12</v>
      </c>
      <c r="P49" s="6"/>
    </row>
    <row r="50" spans="1:16" x14ac:dyDescent="0.2">
      <c r="A50" s="4">
        <v>0</v>
      </c>
      <c r="B50" s="5" t="s">
        <v>13</v>
      </c>
      <c r="C50" s="5">
        <v>10</v>
      </c>
      <c r="D50" s="5" t="s">
        <v>14</v>
      </c>
      <c r="E50" s="5">
        <v>0</v>
      </c>
      <c r="F50" s="5" t="s">
        <v>13</v>
      </c>
      <c r="G50" s="1"/>
      <c r="H50" s="1"/>
      <c r="I50" s="1"/>
      <c r="J50" s="1"/>
      <c r="K50" s="1"/>
      <c r="L50" s="1"/>
      <c r="M50" s="5">
        <v>0</v>
      </c>
      <c r="N50" s="5" t="s">
        <v>49</v>
      </c>
      <c r="O50" s="5" t="s">
        <v>15</v>
      </c>
      <c r="P50" s="6"/>
    </row>
    <row r="51" spans="1:16" x14ac:dyDescent="0.2">
      <c r="A51" s="4">
        <v>1</v>
      </c>
      <c r="B51" s="5" t="s">
        <v>13</v>
      </c>
      <c r="C51" s="5">
        <v>10</v>
      </c>
      <c r="D51" s="5" t="s">
        <v>62</v>
      </c>
      <c r="E51" s="5">
        <v>1</v>
      </c>
      <c r="F51" s="5" t="s">
        <v>13</v>
      </c>
      <c r="G51" s="5">
        <v>25</v>
      </c>
      <c r="H51" s="5">
        <v>9</v>
      </c>
      <c r="I51" s="5">
        <v>6</v>
      </c>
      <c r="J51" s="5">
        <v>0</v>
      </c>
      <c r="K51" s="5">
        <v>6</v>
      </c>
      <c r="L51" s="5">
        <v>0</v>
      </c>
      <c r="M51" s="5">
        <v>6</v>
      </c>
      <c r="N51" s="5" t="s">
        <v>49</v>
      </c>
      <c r="O51" s="5" t="s">
        <v>15</v>
      </c>
      <c r="P51" s="6"/>
    </row>
    <row r="52" spans="1:16" x14ac:dyDescent="0.2">
      <c r="A52" s="4">
        <v>2</v>
      </c>
      <c r="B52" s="5" t="s">
        <v>13</v>
      </c>
      <c r="C52" s="5">
        <v>6</v>
      </c>
      <c r="D52" s="5" t="s">
        <v>60</v>
      </c>
      <c r="E52" s="5">
        <v>2</v>
      </c>
      <c r="F52" s="5" t="s">
        <v>13</v>
      </c>
      <c r="G52" s="5">
        <v>20</v>
      </c>
      <c r="H52" s="5">
        <v>10</v>
      </c>
      <c r="I52" s="5">
        <v>21</v>
      </c>
      <c r="J52" s="5">
        <v>0</v>
      </c>
      <c r="K52" s="5">
        <v>21</v>
      </c>
      <c r="L52" s="5">
        <v>0</v>
      </c>
      <c r="M52" s="5">
        <v>27</v>
      </c>
      <c r="N52" s="5" t="s">
        <v>49</v>
      </c>
      <c r="O52" s="5" t="s">
        <v>15</v>
      </c>
      <c r="P52" s="6"/>
    </row>
    <row r="53" spans="1:16" x14ac:dyDescent="0.2">
      <c r="A53" s="4">
        <v>3</v>
      </c>
      <c r="B53" s="5" t="s">
        <v>13</v>
      </c>
      <c r="C53" s="5">
        <v>21</v>
      </c>
      <c r="D53" s="5" t="s">
        <v>61</v>
      </c>
      <c r="E53" s="5">
        <v>3</v>
      </c>
      <c r="F53" s="5" t="s">
        <v>13</v>
      </c>
      <c r="G53" s="5">
        <v>20</v>
      </c>
      <c r="H53" s="5">
        <v>11</v>
      </c>
      <c r="I53" s="5">
        <v>30</v>
      </c>
      <c r="J53" s="5">
        <v>0</v>
      </c>
      <c r="K53" s="5">
        <v>30</v>
      </c>
      <c r="L53" s="5">
        <v>0</v>
      </c>
      <c r="M53" s="5">
        <v>57</v>
      </c>
      <c r="N53" s="5" t="s">
        <v>49</v>
      </c>
      <c r="O53" s="5" t="s">
        <v>15</v>
      </c>
      <c r="P53" s="6"/>
    </row>
    <row r="54" spans="1:16" x14ac:dyDescent="0.2">
      <c r="A54" s="4">
        <v>4</v>
      </c>
      <c r="B54" s="5" t="s">
        <v>13</v>
      </c>
      <c r="C54" s="5">
        <v>30</v>
      </c>
      <c r="D54" s="5" t="s">
        <v>53</v>
      </c>
      <c r="E54" s="5">
        <v>4</v>
      </c>
      <c r="F54" s="5" t="s">
        <v>13</v>
      </c>
      <c r="G54" s="5">
        <v>20</v>
      </c>
      <c r="H54" s="5">
        <v>14</v>
      </c>
      <c r="I54" s="5">
        <v>36</v>
      </c>
      <c r="J54" s="5">
        <v>0</v>
      </c>
      <c r="K54" s="5">
        <v>36</v>
      </c>
      <c r="L54" s="5">
        <v>0</v>
      </c>
      <c r="M54" s="5">
        <v>93</v>
      </c>
      <c r="N54" s="5" t="s">
        <v>49</v>
      </c>
      <c r="O54" s="5" t="s">
        <v>15</v>
      </c>
      <c r="P54" s="6"/>
    </row>
    <row r="55" spans="1:16" x14ac:dyDescent="0.2">
      <c r="A55" s="4">
        <v>5</v>
      </c>
      <c r="B55" s="5" t="s">
        <v>13</v>
      </c>
      <c r="C55" s="5">
        <v>36</v>
      </c>
      <c r="D55" s="5" t="s">
        <v>63</v>
      </c>
      <c r="E55" s="5">
        <v>5</v>
      </c>
      <c r="F55" s="5" t="s">
        <v>13</v>
      </c>
      <c r="G55" s="5">
        <v>50</v>
      </c>
      <c r="H55" s="5">
        <v>14</v>
      </c>
      <c r="I55" s="5">
        <v>42</v>
      </c>
      <c r="J55" s="5">
        <v>0</v>
      </c>
      <c r="K55" s="5">
        <v>42</v>
      </c>
      <c r="L55" s="5">
        <v>0</v>
      </c>
      <c r="M55" s="5">
        <v>135</v>
      </c>
      <c r="N55" s="5" t="s">
        <v>49</v>
      </c>
      <c r="O55" s="5" t="s">
        <v>15</v>
      </c>
      <c r="P55" s="6"/>
    </row>
    <row r="56" spans="1:16" x14ac:dyDescent="0.2">
      <c r="A56" s="4">
        <v>6</v>
      </c>
      <c r="B56" s="5" t="s">
        <v>13</v>
      </c>
      <c r="C56" s="5">
        <v>42</v>
      </c>
      <c r="D56" s="5" t="s">
        <v>55</v>
      </c>
      <c r="E56" s="5">
        <v>6</v>
      </c>
      <c r="F56" s="5" t="s">
        <v>13</v>
      </c>
      <c r="G56" s="5">
        <v>20</v>
      </c>
      <c r="H56" s="5">
        <v>14</v>
      </c>
      <c r="I56" s="5">
        <v>78</v>
      </c>
      <c r="J56" s="5">
        <v>0</v>
      </c>
      <c r="K56" s="5">
        <v>78</v>
      </c>
      <c r="L56" s="5">
        <v>0</v>
      </c>
      <c r="M56" s="5">
        <v>213</v>
      </c>
      <c r="N56" s="5" t="s">
        <v>49</v>
      </c>
      <c r="O56" s="5" t="s">
        <v>15</v>
      </c>
      <c r="P56" s="6"/>
    </row>
    <row r="57" spans="1:16" x14ac:dyDescent="0.2">
      <c r="A57" s="4">
        <v>7</v>
      </c>
      <c r="B57" s="5" t="s">
        <v>13</v>
      </c>
      <c r="C57" s="5">
        <v>78</v>
      </c>
      <c r="D57" s="5" t="s">
        <v>56</v>
      </c>
      <c r="E57" s="5">
        <v>7</v>
      </c>
      <c r="F57" s="5" t="s">
        <v>13</v>
      </c>
      <c r="G57" s="5">
        <v>20</v>
      </c>
      <c r="H57" s="5">
        <v>13</v>
      </c>
      <c r="I57" s="5">
        <v>85</v>
      </c>
      <c r="J57" s="5">
        <v>0</v>
      </c>
      <c r="K57" s="5">
        <v>85</v>
      </c>
      <c r="L57" s="5">
        <v>0</v>
      </c>
      <c r="M57" s="5">
        <v>298</v>
      </c>
      <c r="N57" s="5" t="s">
        <v>49</v>
      </c>
      <c r="O57" s="5" t="s">
        <v>15</v>
      </c>
      <c r="P57" s="6"/>
    </row>
    <row r="58" spans="1:16" x14ac:dyDescent="0.2">
      <c r="A58" s="4">
        <v>8</v>
      </c>
      <c r="B58" s="5" t="s">
        <v>13</v>
      </c>
      <c r="C58" s="5">
        <v>85</v>
      </c>
      <c r="D58" s="5" t="s">
        <v>57</v>
      </c>
      <c r="E58" s="5">
        <v>8</v>
      </c>
      <c r="F58" s="5" t="s">
        <v>13</v>
      </c>
      <c r="G58" s="5">
        <v>20</v>
      </c>
      <c r="H58" s="5">
        <v>14</v>
      </c>
      <c r="I58" s="5">
        <v>91</v>
      </c>
      <c r="J58" s="5">
        <v>0</v>
      </c>
      <c r="K58" s="5">
        <v>91</v>
      </c>
      <c r="L58" s="5">
        <v>0</v>
      </c>
      <c r="M58" s="5">
        <v>389</v>
      </c>
      <c r="N58" s="5" t="s">
        <v>49</v>
      </c>
      <c r="O58" s="5" t="s">
        <v>15</v>
      </c>
      <c r="P58" s="6"/>
    </row>
    <row r="59" spans="1:16" x14ac:dyDescent="0.2">
      <c r="A59" s="4">
        <v>9</v>
      </c>
      <c r="B59" s="5" t="s">
        <v>13</v>
      </c>
      <c r="C59" s="5">
        <v>91</v>
      </c>
      <c r="D59" s="5" t="s">
        <v>58</v>
      </c>
      <c r="E59" s="5">
        <v>9</v>
      </c>
      <c r="F59" s="5" t="s">
        <v>13</v>
      </c>
      <c r="G59" s="5">
        <v>20</v>
      </c>
      <c r="H59" s="5">
        <v>10</v>
      </c>
      <c r="I59" s="5">
        <v>101</v>
      </c>
      <c r="J59" s="5">
        <v>0</v>
      </c>
      <c r="K59" s="5">
        <v>101</v>
      </c>
      <c r="L59" s="5">
        <v>0</v>
      </c>
      <c r="M59" s="5">
        <v>490</v>
      </c>
      <c r="N59" s="5" t="s">
        <v>49</v>
      </c>
      <c r="O59" s="5" t="s">
        <v>15</v>
      </c>
      <c r="P59" s="6"/>
    </row>
    <row r="60" spans="1:16" x14ac:dyDescent="0.2">
      <c r="A60" s="4">
        <v>10</v>
      </c>
      <c r="B60" s="5" t="s">
        <v>13</v>
      </c>
      <c r="C60" s="5">
        <v>101</v>
      </c>
      <c r="D60" s="5" t="s">
        <v>59</v>
      </c>
      <c r="E60" s="5">
        <v>10</v>
      </c>
      <c r="F60" s="5" t="s">
        <v>13</v>
      </c>
      <c r="G60" s="5">
        <v>20</v>
      </c>
      <c r="H60" s="5">
        <v>11</v>
      </c>
      <c r="I60" s="5">
        <v>110</v>
      </c>
      <c r="J60" s="5">
        <v>0</v>
      </c>
      <c r="K60" s="5">
        <v>110</v>
      </c>
      <c r="L60" s="5">
        <v>0</v>
      </c>
      <c r="M60" s="5">
        <v>600</v>
      </c>
      <c r="N60" s="5" t="s">
        <v>49</v>
      </c>
      <c r="O60" s="5" t="s">
        <v>15</v>
      </c>
      <c r="P60" s="6"/>
    </row>
    <row r="62" spans="1:16" ht="22" x14ac:dyDescent="0.3">
      <c r="H62" s="3" t="s">
        <v>45</v>
      </c>
    </row>
    <row r="63" spans="1:16" ht="22" x14ac:dyDescent="0.3">
      <c r="H63" s="3"/>
    </row>
    <row r="64" spans="1:16" x14ac:dyDescent="0.2">
      <c r="A64" s="4" t="s">
        <v>0</v>
      </c>
      <c r="B64" s="4" t="s">
        <v>1</v>
      </c>
      <c r="C64" s="4" t="s">
        <v>2</v>
      </c>
      <c r="D64" s="4" t="s">
        <v>3</v>
      </c>
      <c r="E64" s="4" t="s">
        <v>37</v>
      </c>
      <c r="F64" s="4" t="s">
        <v>38</v>
      </c>
      <c r="G64" s="4" t="s">
        <v>4</v>
      </c>
      <c r="H64" s="4" t="s">
        <v>5</v>
      </c>
      <c r="I64" s="4" t="s">
        <v>6</v>
      </c>
      <c r="J64" s="4" t="s">
        <v>7</v>
      </c>
      <c r="K64" s="4" t="s">
        <v>8</v>
      </c>
      <c r="L64" s="4" t="s">
        <v>9</v>
      </c>
      <c r="M64" s="4" t="s">
        <v>10</v>
      </c>
      <c r="N64" s="4" t="s">
        <v>11</v>
      </c>
      <c r="O64" s="4" t="s">
        <v>12</v>
      </c>
    </row>
    <row r="65" spans="1:15" x14ac:dyDescent="0.2">
      <c r="A65" s="4">
        <v>0</v>
      </c>
      <c r="B65" s="5" t="s">
        <v>13</v>
      </c>
      <c r="C65" s="5">
        <v>10</v>
      </c>
      <c r="D65" s="5" t="s">
        <v>14</v>
      </c>
      <c r="E65" s="5">
        <v>0</v>
      </c>
      <c r="F65" s="5" t="s">
        <v>13</v>
      </c>
      <c r="G65" s="1"/>
      <c r="H65" s="1"/>
      <c r="I65" s="1"/>
      <c r="J65" s="1"/>
      <c r="K65" s="1"/>
      <c r="L65" s="1"/>
      <c r="M65" s="5">
        <v>0</v>
      </c>
      <c r="N65" s="5" t="s">
        <v>49</v>
      </c>
      <c r="O65" s="5" t="s">
        <v>15</v>
      </c>
    </row>
    <row r="66" spans="1:15" x14ac:dyDescent="0.2">
      <c r="A66" s="4">
        <v>1</v>
      </c>
      <c r="B66" s="5" t="s">
        <v>13</v>
      </c>
      <c r="C66" s="5">
        <v>10</v>
      </c>
      <c r="D66" s="5" t="s">
        <v>50</v>
      </c>
      <c r="E66" s="5">
        <v>1</v>
      </c>
      <c r="F66" s="5" t="s">
        <v>13</v>
      </c>
      <c r="G66" s="5">
        <v>20</v>
      </c>
      <c r="H66" s="5">
        <v>10</v>
      </c>
      <c r="I66" s="5">
        <v>5</v>
      </c>
      <c r="J66" s="5">
        <v>0</v>
      </c>
      <c r="K66" s="5">
        <v>5</v>
      </c>
      <c r="L66" s="5">
        <v>0</v>
      </c>
      <c r="M66" s="5">
        <v>5</v>
      </c>
      <c r="N66" s="5" t="s">
        <v>49</v>
      </c>
      <c r="O66" s="5" t="s">
        <v>15</v>
      </c>
    </row>
    <row r="67" spans="1:15" x14ac:dyDescent="0.2">
      <c r="A67" s="4">
        <v>2</v>
      </c>
      <c r="B67" s="5" t="s">
        <v>13</v>
      </c>
      <c r="C67" s="5">
        <v>5</v>
      </c>
      <c r="D67" s="5" t="s">
        <v>60</v>
      </c>
      <c r="E67" s="5">
        <v>2</v>
      </c>
      <c r="F67" s="5" t="s">
        <v>13</v>
      </c>
      <c r="G67" s="5">
        <v>20</v>
      </c>
      <c r="H67" s="5">
        <v>11</v>
      </c>
      <c r="I67" s="5">
        <v>14</v>
      </c>
      <c r="J67" s="5">
        <v>0</v>
      </c>
      <c r="K67" s="5">
        <v>14</v>
      </c>
      <c r="L67" s="5">
        <v>0</v>
      </c>
      <c r="M67" s="5">
        <v>19</v>
      </c>
      <c r="N67" s="5" t="s">
        <v>49</v>
      </c>
      <c r="O67" s="5" t="s">
        <v>15</v>
      </c>
    </row>
    <row r="68" spans="1:15" x14ac:dyDescent="0.2">
      <c r="A68" s="4">
        <v>3</v>
      </c>
      <c r="B68" s="5" t="s">
        <v>13</v>
      </c>
      <c r="C68" s="5">
        <v>14</v>
      </c>
      <c r="D68" s="5" t="s">
        <v>61</v>
      </c>
      <c r="E68" s="5">
        <v>3</v>
      </c>
      <c r="F68" s="5" t="s">
        <v>13</v>
      </c>
      <c r="G68" s="5">
        <v>20</v>
      </c>
      <c r="H68" s="5">
        <v>14</v>
      </c>
      <c r="I68" s="5">
        <v>20</v>
      </c>
      <c r="J68" s="5">
        <v>0</v>
      </c>
      <c r="K68" s="5">
        <v>20</v>
      </c>
      <c r="L68" s="5">
        <v>0</v>
      </c>
      <c r="M68" s="5">
        <v>39</v>
      </c>
      <c r="N68" s="5" t="s">
        <v>49</v>
      </c>
      <c r="O68" s="5" t="s">
        <v>15</v>
      </c>
    </row>
    <row r="69" spans="1:15" x14ac:dyDescent="0.2">
      <c r="A69" s="4">
        <v>4</v>
      </c>
      <c r="B69" s="5" t="s">
        <v>13</v>
      </c>
      <c r="C69" s="5">
        <v>20</v>
      </c>
      <c r="D69" s="5" t="s">
        <v>53</v>
      </c>
      <c r="E69" s="5">
        <v>4</v>
      </c>
      <c r="F69" s="5" t="s">
        <v>13</v>
      </c>
      <c r="G69" s="5">
        <v>20</v>
      </c>
      <c r="H69" s="5">
        <v>9</v>
      </c>
      <c r="I69" s="5">
        <v>31</v>
      </c>
      <c r="J69" s="5">
        <v>0</v>
      </c>
      <c r="K69" s="5">
        <v>31</v>
      </c>
      <c r="L69" s="5">
        <v>0</v>
      </c>
      <c r="M69" s="5">
        <v>70</v>
      </c>
      <c r="N69" s="5" t="s">
        <v>49</v>
      </c>
      <c r="O69" s="5" t="s">
        <v>15</v>
      </c>
    </row>
    <row r="70" spans="1:15" x14ac:dyDescent="0.2">
      <c r="A70" s="4">
        <v>5</v>
      </c>
      <c r="B70" s="5" t="s">
        <v>13</v>
      </c>
      <c r="C70" s="5">
        <v>31</v>
      </c>
      <c r="D70" s="5" t="s">
        <v>54</v>
      </c>
      <c r="E70" s="5">
        <v>5</v>
      </c>
      <c r="F70" s="5" t="s">
        <v>13</v>
      </c>
      <c r="G70" s="5">
        <v>20</v>
      </c>
      <c r="H70" s="5">
        <v>11</v>
      </c>
      <c r="I70" s="5">
        <v>40</v>
      </c>
      <c r="J70" s="5">
        <v>0</v>
      </c>
      <c r="K70" s="5">
        <v>40</v>
      </c>
      <c r="L70" s="5">
        <v>0</v>
      </c>
      <c r="M70" s="5">
        <v>110</v>
      </c>
      <c r="N70" s="5" t="s">
        <v>49</v>
      </c>
      <c r="O70" s="5" t="s">
        <v>15</v>
      </c>
    </row>
    <row r="71" spans="1:15" x14ac:dyDescent="0.2">
      <c r="A71" s="4">
        <v>6</v>
      </c>
      <c r="B71" s="5" t="s">
        <v>13</v>
      </c>
      <c r="C71" s="5">
        <v>40</v>
      </c>
      <c r="D71" s="5" t="s">
        <v>55</v>
      </c>
      <c r="E71" s="5">
        <v>6</v>
      </c>
      <c r="F71" s="5" t="s">
        <v>13</v>
      </c>
      <c r="G71" s="5">
        <v>20</v>
      </c>
      <c r="H71" s="5">
        <v>10</v>
      </c>
      <c r="I71" s="5">
        <v>50</v>
      </c>
      <c r="J71" s="5">
        <v>0</v>
      </c>
      <c r="K71" s="5">
        <v>50</v>
      </c>
      <c r="L71" s="5">
        <v>0</v>
      </c>
      <c r="M71" s="5">
        <v>160</v>
      </c>
      <c r="N71" s="5" t="s">
        <v>49</v>
      </c>
      <c r="O71" s="5" t="s">
        <v>15</v>
      </c>
    </row>
    <row r="72" spans="1:15" x14ac:dyDescent="0.2">
      <c r="A72" s="4">
        <v>7</v>
      </c>
      <c r="B72" s="5" t="s">
        <v>13</v>
      </c>
      <c r="C72" s="5">
        <v>50</v>
      </c>
      <c r="D72" s="5" t="s">
        <v>56</v>
      </c>
      <c r="E72" s="5">
        <v>7</v>
      </c>
      <c r="F72" s="5" t="s">
        <v>13</v>
      </c>
      <c r="G72" s="5">
        <v>20</v>
      </c>
      <c r="H72" s="5">
        <v>12</v>
      </c>
      <c r="I72" s="5">
        <v>58</v>
      </c>
      <c r="J72" s="5">
        <v>0</v>
      </c>
      <c r="K72" s="5">
        <v>58</v>
      </c>
      <c r="L72" s="5">
        <v>0</v>
      </c>
      <c r="M72" s="5">
        <v>218</v>
      </c>
      <c r="N72" s="5" t="s">
        <v>49</v>
      </c>
      <c r="O72" s="5" t="s">
        <v>15</v>
      </c>
    </row>
    <row r="73" spans="1:15" x14ac:dyDescent="0.2">
      <c r="A73" s="4">
        <v>8</v>
      </c>
      <c r="B73" s="5" t="s">
        <v>13</v>
      </c>
      <c r="C73" s="5">
        <v>58</v>
      </c>
      <c r="D73" s="5" t="s">
        <v>57</v>
      </c>
      <c r="E73" s="5">
        <v>8</v>
      </c>
      <c r="F73" s="5" t="s">
        <v>13</v>
      </c>
      <c r="G73" s="5">
        <v>20</v>
      </c>
      <c r="H73" s="5">
        <v>12</v>
      </c>
      <c r="I73" s="5">
        <v>66</v>
      </c>
      <c r="J73" s="5">
        <v>0</v>
      </c>
      <c r="K73" s="5">
        <v>66</v>
      </c>
      <c r="L73" s="5">
        <v>0</v>
      </c>
      <c r="M73" s="5">
        <v>284</v>
      </c>
      <c r="N73" s="5" t="s">
        <v>49</v>
      </c>
      <c r="O73" s="5" t="s">
        <v>15</v>
      </c>
    </row>
    <row r="74" spans="1:15" x14ac:dyDescent="0.2">
      <c r="A74" s="4">
        <v>9</v>
      </c>
      <c r="B74" s="5" t="s">
        <v>13</v>
      </c>
      <c r="C74" s="5">
        <v>66</v>
      </c>
      <c r="D74" s="5" t="s">
        <v>58</v>
      </c>
      <c r="E74" s="5">
        <v>9</v>
      </c>
      <c r="F74" s="5" t="s">
        <v>13</v>
      </c>
      <c r="G74" s="5">
        <v>20</v>
      </c>
      <c r="H74" s="5">
        <v>13</v>
      </c>
      <c r="I74" s="5">
        <v>73</v>
      </c>
      <c r="J74" s="5">
        <v>0</v>
      </c>
      <c r="K74" s="5">
        <v>73</v>
      </c>
      <c r="L74" s="5">
        <v>0</v>
      </c>
      <c r="M74" s="5">
        <v>357</v>
      </c>
      <c r="N74" s="5" t="s">
        <v>49</v>
      </c>
      <c r="O74" s="5" t="s">
        <v>15</v>
      </c>
    </row>
    <row r="75" spans="1:15" x14ac:dyDescent="0.2">
      <c r="A75" s="4">
        <v>10</v>
      </c>
      <c r="B75" s="5" t="s">
        <v>13</v>
      </c>
      <c r="C75" s="5">
        <v>73</v>
      </c>
      <c r="D75" s="5" t="s">
        <v>59</v>
      </c>
      <c r="E75" s="5">
        <v>10</v>
      </c>
      <c r="F75" s="5" t="s">
        <v>13</v>
      </c>
      <c r="G75" s="5">
        <v>20</v>
      </c>
      <c r="H75" s="5">
        <v>11</v>
      </c>
      <c r="I75" s="5">
        <v>82</v>
      </c>
      <c r="J75" s="5">
        <v>0</v>
      </c>
      <c r="K75" s="5">
        <v>82</v>
      </c>
      <c r="L75" s="5">
        <v>0</v>
      </c>
      <c r="M75" s="5">
        <v>439</v>
      </c>
      <c r="N75" s="5" t="s">
        <v>49</v>
      </c>
      <c r="O75" s="5" t="s">
        <v>15</v>
      </c>
    </row>
    <row r="76" spans="1:1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CCCB-0920-8D43-96C8-51459F2F4A86}">
  <dimension ref="A1:T82"/>
  <sheetViews>
    <sheetView workbookViewId="0">
      <selection activeCell="F72" sqref="F72"/>
    </sheetView>
  </sheetViews>
  <sheetFormatPr baseColWidth="10" defaultRowHeight="16" x14ac:dyDescent="0.2"/>
  <cols>
    <col min="3" max="3" width="12.33203125" customWidth="1"/>
    <col min="4" max="4" width="21" customWidth="1"/>
    <col min="6" max="6" width="14" customWidth="1"/>
    <col min="7" max="7" width="19.6640625" customWidth="1"/>
    <col min="8" max="8" width="15.6640625" customWidth="1"/>
    <col min="9" max="9" width="22.33203125" customWidth="1"/>
    <col min="10" max="10" width="18.1640625" customWidth="1"/>
    <col min="11" max="11" width="18.83203125" customWidth="1"/>
    <col min="12" max="12" width="21.33203125" customWidth="1"/>
    <col min="13" max="13" width="16.33203125" customWidth="1"/>
    <col min="14" max="14" width="16.6640625" customWidth="1"/>
    <col min="15" max="15" width="12.5" customWidth="1"/>
  </cols>
  <sheetData>
    <row r="1" spans="1:20" ht="22" x14ac:dyDescent="0.3">
      <c r="H1" s="2" t="s">
        <v>68</v>
      </c>
    </row>
    <row r="2" spans="1:20" ht="22" x14ac:dyDescent="0.3">
      <c r="H2" s="2" t="s">
        <v>43</v>
      </c>
    </row>
    <row r="4" spans="1:20" s="6" customFormat="1" x14ac:dyDescent="0.2">
      <c r="A4" s="4" t="s">
        <v>0</v>
      </c>
      <c r="B4" s="4" t="s">
        <v>1</v>
      </c>
      <c r="C4" s="4" t="s">
        <v>2</v>
      </c>
      <c r="D4" s="4" t="s">
        <v>3</v>
      </c>
      <c r="E4" s="4" t="s">
        <v>37</v>
      </c>
      <c r="F4" s="4" t="s">
        <v>38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</row>
    <row r="5" spans="1:20" s="6" customFormat="1" x14ac:dyDescent="0.2">
      <c r="A5" s="4">
        <v>0</v>
      </c>
      <c r="B5" s="5" t="s">
        <v>13</v>
      </c>
      <c r="C5" s="5">
        <v>10</v>
      </c>
      <c r="D5" s="5" t="s">
        <v>14</v>
      </c>
      <c r="E5" s="5">
        <v>0</v>
      </c>
      <c r="F5" s="5" t="s">
        <v>13</v>
      </c>
      <c r="G5" s="1"/>
      <c r="H5" s="1"/>
      <c r="I5" s="1"/>
      <c r="J5" s="1"/>
      <c r="K5" s="1"/>
      <c r="L5" s="1"/>
      <c r="M5" s="5">
        <v>0</v>
      </c>
      <c r="N5" s="5" t="s">
        <v>49</v>
      </c>
      <c r="O5" s="5" t="s">
        <v>15</v>
      </c>
    </row>
    <row r="6" spans="1:20" s="6" customFormat="1" x14ac:dyDescent="0.2">
      <c r="A6" s="4">
        <v>1</v>
      </c>
      <c r="B6" s="5" t="s">
        <v>13</v>
      </c>
      <c r="C6" s="5">
        <v>10</v>
      </c>
      <c r="D6" s="5" t="s">
        <v>69</v>
      </c>
      <c r="E6" s="5">
        <v>1</v>
      </c>
      <c r="F6" s="5" t="s">
        <v>13</v>
      </c>
      <c r="G6" s="5">
        <v>50</v>
      </c>
      <c r="H6" s="5">
        <v>11</v>
      </c>
      <c r="I6" s="5">
        <v>4</v>
      </c>
      <c r="J6" s="5">
        <v>0</v>
      </c>
      <c r="K6" s="5">
        <v>4</v>
      </c>
      <c r="L6" s="5">
        <v>0</v>
      </c>
      <c r="M6" s="5">
        <v>4</v>
      </c>
      <c r="N6" s="5" t="s">
        <v>49</v>
      </c>
      <c r="O6" s="5" t="s">
        <v>15</v>
      </c>
    </row>
    <row r="7" spans="1:20" s="6" customFormat="1" x14ac:dyDescent="0.2">
      <c r="A7" s="4">
        <v>2</v>
      </c>
      <c r="B7" s="5" t="s">
        <v>13</v>
      </c>
      <c r="C7" s="5">
        <v>4</v>
      </c>
      <c r="D7" s="5" t="s">
        <v>70</v>
      </c>
      <c r="E7" s="5">
        <v>2</v>
      </c>
      <c r="F7" s="5" t="s">
        <v>13</v>
      </c>
      <c r="G7" s="5">
        <v>50</v>
      </c>
      <c r="H7" s="5">
        <v>9</v>
      </c>
      <c r="I7" s="5">
        <v>45</v>
      </c>
      <c r="J7" s="5">
        <v>0</v>
      </c>
      <c r="K7" s="5">
        <v>45</v>
      </c>
      <c r="L7" s="5">
        <v>0</v>
      </c>
      <c r="M7" s="5">
        <v>49</v>
      </c>
      <c r="N7" s="5" t="s">
        <v>49</v>
      </c>
      <c r="O7" s="5" t="s">
        <v>15</v>
      </c>
    </row>
    <row r="8" spans="1:20" s="6" customFormat="1" x14ac:dyDescent="0.2">
      <c r="A8" s="4">
        <v>3</v>
      </c>
      <c r="B8" s="5" t="s">
        <v>13</v>
      </c>
      <c r="C8" s="5">
        <v>45</v>
      </c>
      <c r="D8" s="5" t="s">
        <v>71</v>
      </c>
      <c r="E8" s="5">
        <v>3</v>
      </c>
      <c r="F8" s="5" t="s">
        <v>13</v>
      </c>
      <c r="G8" s="5">
        <v>50</v>
      </c>
      <c r="H8" s="5">
        <v>12</v>
      </c>
      <c r="I8" s="5">
        <v>83</v>
      </c>
      <c r="J8" s="5">
        <v>0</v>
      </c>
      <c r="K8" s="5">
        <v>83</v>
      </c>
      <c r="L8" s="5">
        <v>0</v>
      </c>
      <c r="M8" s="5">
        <v>132</v>
      </c>
      <c r="N8" s="5" t="s">
        <v>49</v>
      </c>
      <c r="O8" s="5" t="s">
        <v>15</v>
      </c>
    </row>
    <row r="9" spans="1:20" s="6" customFormat="1" x14ac:dyDescent="0.2">
      <c r="A9" s="4">
        <v>4</v>
      </c>
      <c r="B9" s="5" t="s">
        <v>13</v>
      </c>
      <c r="C9" s="5">
        <v>83</v>
      </c>
      <c r="D9" s="5" t="s">
        <v>72</v>
      </c>
      <c r="E9" s="5">
        <v>4</v>
      </c>
      <c r="F9" s="5" t="s">
        <v>13</v>
      </c>
      <c r="G9" s="5">
        <v>50</v>
      </c>
      <c r="H9" s="5">
        <v>14</v>
      </c>
      <c r="I9" s="5">
        <v>119</v>
      </c>
      <c r="J9" s="5">
        <v>0</v>
      </c>
      <c r="K9" s="5">
        <v>119</v>
      </c>
      <c r="L9" s="5">
        <v>0</v>
      </c>
      <c r="M9" s="5">
        <v>251</v>
      </c>
      <c r="N9" s="5" t="s">
        <v>49</v>
      </c>
      <c r="O9" s="5" t="s">
        <v>15</v>
      </c>
    </row>
    <row r="10" spans="1:20" s="6" customFormat="1" x14ac:dyDescent="0.2">
      <c r="A10" s="4">
        <v>5</v>
      </c>
      <c r="B10" s="5" t="s">
        <v>13</v>
      </c>
      <c r="C10" s="5">
        <v>119</v>
      </c>
      <c r="D10" s="5" t="s">
        <v>63</v>
      </c>
      <c r="E10" s="5">
        <v>5</v>
      </c>
      <c r="F10" s="5" t="s">
        <v>13</v>
      </c>
      <c r="G10" s="5">
        <v>50</v>
      </c>
      <c r="H10" s="5">
        <v>14</v>
      </c>
      <c r="I10" s="5">
        <v>155</v>
      </c>
      <c r="J10" s="5">
        <v>0</v>
      </c>
      <c r="K10" s="5">
        <v>155</v>
      </c>
      <c r="L10" s="5">
        <v>0</v>
      </c>
      <c r="M10" s="5">
        <v>406</v>
      </c>
      <c r="N10" s="5" t="s">
        <v>49</v>
      </c>
      <c r="O10" s="5" t="s">
        <v>15</v>
      </c>
    </row>
    <row r="11" spans="1:20" s="6" customFormat="1" x14ac:dyDescent="0.2">
      <c r="A11" s="4">
        <v>6</v>
      </c>
      <c r="B11" s="5" t="s">
        <v>13</v>
      </c>
      <c r="C11" s="5">
        <v>155</v>
      </c>
      <c r="D11" s="5" t="s">
        <v>55</v>
      </c>
      <c r="E11" s="5">
        <v>6</v>
      </c>
      <c r="F11" s="5" t="s">
        <v>13</v>
      </c>
      <c r="G11" s="5">
        <v>20</v>
      </c>
      <c r="H11" s="5">
        <v>10</v>
      </c>
      <c r="I11" s="5">
        <v>195</v>
      </c>
      <c r="J11" s="5">
        <v>0</v>
      </c>
      <c r="K11" s="5">
        <v>195</v>
      </c>
      <c r="L11" s="5">
        <v>0</v>
      </c>
      <c r="M11" s="5">
        <v>601</v>
      </c>
      <c r="N11" s="5" t="s">
        <v>49</v>
      </c>
      <c r="O11" s="5" t="s">
        <v>15</v>
      </c>
    </row>
    <row r="12" spans="1:20" s="6" customFormat="1" x14ac:dyDescent="0.2">
      <c r="A12" s="4">
        <v>7</v>
      </c>
      <c r="B12" s="5" t="s">
        <v>13</v>
      </c>
      <c r="C12" s="5">
        <v>195</v>
      </c>
      <c r="D12" s="5" t="s">
        <v>73</v>
      </c>
      <c r="E12" s="5">
        <v>7</v>
      </c>
      <c r="F12" s="5" t="s">
        <v>13</v>
      </c>
      <c r="G12" s="5">
        <v>50</v>
      </c>
      <c r="H12" s="5">
        <v>14</v>
      </c>
      <c r="I12" s="5">
        <v>201</v>
      </c>
      <c r="J12" s="5">
        <v>0</v>
      </c>
      <c r="K12" s="5">
        <v>201</v>
      </c>
      <c r="L12" s="5">
        <v>0</v>
      </c>
      <c r="M12" s="5">
        <v>802</v>
      </c>
      <c r="N12" s="5" t="s">
        <v>49</v>
      </c>
      <c r="O12" s="5" t="s">
        <v>15</v>
      </c>
    </row>
    <row r="13" spans="1:20" s="6" customFormat="1" x14ac:dyDescent="0.2">
      <c r="A13" s="4">
        <v>8</v>
      </c>
      <c r="B13" s="5" t="s">
        <v>13</v>
      </c>
      <c r="C13" s="5">
        <v>201</v>
      </c>
      <c r="D13" s="5" t="s">
        <v>74</v>
      </c>
      <c r="E13" s="5">
        <v>8</v>
      </c>
      <c r="F13" s="5" t="s">
        <v>13</v>
      </c>
      <c r="G13" s="5">
        <v>25</v>
      </c>
      <c r="H13" s="5">
        <v>9</v>
      </c>
      <c r="I13" s="5">
        <v>242</v>
      </c>
      <c r="J13" s="5">
        <v>0</v>
      </c>
      <c r="K13" s="5">
        <v>242</v>
      </c>
      <c r="L13" s="5">
        <v>0</v>
      </c>
      <c r="M13" s="5">
        <v>1044</v>
      </c>
      <c r="N13" s="5" t="s">
        <v>49</v>
      </c>
      <c r="O13" s="5" t="s">
        <v>15</v>
      </c>
    </row>
    <row r="14" spans="1:20" s="6" customFormat="1" x14ac:dyDescent="0.2">
      <c r="A14" s="4">
        <v>9</v>
      </c>
      <c r="B14" s="5" t="s">
        <v>13</v>
      </c>
      <c r="C14" s="5">
        <v>242</v>
      </c>
      <c r="D14" s="5" t="s">
        <v>75</v>
      </c>
      <c r="E14" s="5">
        <v>9</v>
      </c>
      <c r="F14" s="5" t="s">
        <v>13</v>
      </c>
      <c r="G14" s="5">
        <v>30</v>
      </c>
      <c r="H14" s="5">
        <v>10</v>
      </c>
      <c r="I14" s="5">
        <v>257</v>
      </c>
      <c r="J14" s="5">
        <v>0</v>
      </c>
      <c r="K14" s="5">
        <v>257</v>
      </c>
      <c r="L14" s="5">
        <v>0</v>
      </c>
      <c r="M14" s="5">
        <v>1301</v>
      </c>
      <c r="N14" s="5" t="s">
        <v>49</v>
      </c>
      <c r="O14" s="5" t="s">
        <v>15</v>
      </c>
    </row>
    <row r="15" spans="1:20" s="6" customFormat="1" x14ac:dyDescent="0.2">
      <c r="A15" s="4">
        <v>10</v>
      </c>
      <c r="B15" s="5" t="s">
        <v>13</v>
      </c>
      <c r="C15" s="5">
        <v>257</v>
      </c>
      <c r="D15" s="5" t="s">
        <v>76</v>
      </c>
      <c r="E15" s="5">
        <v>10</v>
      </c>
      <c r="F15" s="5" t="s">
        <v>13</v>
      </c>
      <c r="G15" s="5">
        <v>50</v>
      </c>
      <c r="H15" s="5">
        <v>12</v>
      </c>
      <c r="I15" s="5">
        <v>275</v>
      </c>
      <c r="J15" s="5">
        <v>0</v>
      </c>
      <c r="K15" s="5">
        <v>275</v>
      </c>
      <c r="L15" s="5">
        <v>0</v>
      </c>
      <c r="M15" s="5">
        <v>1576</v>
      </c>
      <c r="N15" s="5" t="s">
        <v>49</v>
      </c>
      <c r="O15" s="5" t="s">
        <v>15</v>
      </c>
    </row>
    <row r="16" spans="1:2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22" x14ac:dyDescent="0.2">
      <c r="A17" s="6"/>
      <c r="B17" s="6"/>
      <c r="C17" s="6"/>
      <c r="D17" s="6"/>
      <c r="E17" s="6"/>
      <c r="F17" s="6"/>
      <c r="G17" s="6"/>
      <c r="H17" s="7" t="s">
        <v>41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 x14ac:dyDescent="0.2">
      <c r="A19" s="4" t="s">
        <v>0</v>
      </c>
      <c r="B19" s="4" t="s">
        <v>1</v>
      </c>
      <c r="C19" s="4" t="s">
        <v>2</v>
      </c>
      <c r="D19" s="4" t="s">
        <v>3</v>
      </c>
      <c r="E19" s="4" t="s">
        <v>37</v>
      </c>
      <c r="F19" s="4" t="s">
        <v>38</v>
      </c>
      <c r="G19" s="4" t="s">
        <v>4</v>
      </c>
      <c r="H19" s="4" t="s">
        <v>5</v>
      </c>
      <c r="I19" s="4" t="s">
        <v>6</v>
      </c>
      <c r="J19" s="4" t="s">
        <v>7</v>
      </c>
      <c r="K19" s="4" t="s">
        <v>8</v>
      </c>
      <c r="L19" s="4" t="s">
        <v>9</v>
      </c>
      <c r="M19" s="4" t="s">
        <v>10</v>
      </c>
      <c r="N19" s="4" t="s">
        <v>11</v>
      </c>
      <c r="O19" s="4" t="s">
        <v>12</v>
      </c>
    </row>
    <row r="20" spans="1:20" s="6" customFormat="1" x14ac:dyDescent="0.2">
      <c r="A20" s="4">
        <v>0</v>
      </c>
      <c r="B20" s="5" t="s">
        <v>13</v>
      </c>
      <c r="C20" s="5">
        <v>10</v>
      </c>
      <c r="D20" s="5" t="s">
        <v>14</v>
      </c>
      <c r="E20" s="5">
        <v>0</v>
      </c>
      <c r="F20" s="5" t="s">
        <v>13</v>
      </c>
      <c r="G20" s="1"/>
      <c r="H20" s="1"/>
      <c r="I20" s="1"/>
      <c r="J20" s="1"/>
      <c r="K20" s="1"/>
      <c r="L20" s="1"/>
      <c r="M20" s="5">
        <v>0</v>
      </c>
      <c r="N20" s="5" t="s">
        <v>49</v>
      </c>
      <c r="O20" s="5" t="s">
        <v>15</v>
      </c>
    </row>
    <row r="21" spans="1:20" s="6" customFormat="1" x14ac:dyDescent="0.2">
      <c r="A21" s="4">
        <v>1</v>
      </c>
      <c r="B21" s="5" t="s">
        <v>13</v>
      </c>
      <c r="C21" s="5">
        <v>10</v>
      </c>
      <c r="D21" s="5" t="s">
        <v>69</v>
      </c>
      <c r="E21" s="5">
        <v>1</v>
      </c>
      <c r="F21" s="5" t="s">
        <v>13</v>
      </c>
      <c r="G21" s="5">
        <v>50</v>
      </c>
      <c r="H21" s="5">
        <v>14</v>
      </c>
      <c r="I21" s="5">
        <v>1</v>
      </c>
      <c r="J21" s="5">
        <v>0</v>
      </c>
      <c r="K21" s="5">
        <v>1</v>
      </c>
      <c r="L21" s="5">
        <v>0</v>
      </c>
      <c r="M21" s="5">
        <v>1</v>
      </c>
      <c r="N21" s="5" t="s">
        <v>49</v>
      </c>
      <c r="O21" s="5" t="s">
        <v>15</v>
      </c>
    </row>
    <row r="22" spans="1:20" s="6" customFormat="1" x14ac:dyDescent="0.2">
      <c r="A22" s="4">
        <v>2</v>
      </c>
      <c r="B22" s="5" t="s">
        <v>13</v>
      </c>
      <c r="C22" s="5">
        <v>1</v>
      </c>
      <c r="D22" s="5" t="s">
        <v>77</v>
      </c>
      <c r="E22" s="5">
        <v>2</v>
      </c>
      <c r="F22" s="5" t="s">
        <v>13</v>
      </c>
      <c r="G22" s="5">
        <v>15</v>
      </c>
      <c r="H22" s="5">
        <v>12</v>
      </c>
      <c r="I22" s="5">
        <v>39</v>
      </c>
      <c r="J22" s="5">
        <v>0</v>
      </c>
      <c r="K22" s="5">
        <v>39</v>
      </c>
      <c r="L22" s="5">
        <v>0</v>
      </c>
      <c r="M22" s="5">
        <v>40</v>
      </c>
      <c r="N22" s="5" t="s">
        <v>49</v>
      </c>
      <c r="O22" s="5" t="s">
        <v>15</v>
      </c>
    </row>
    <row r="23" spans="1:20" s="6" customFormat="1" x14ac:dyDescent="0.2">
      <c r="A23" s="4">
        <v>3</v>
      </c>
      <c r="B23" s="5" t="s">
        <v>13</v>
      </c>
      <c r="C23" s="5">
        <v>39</v>
      </c>
      <c r="D23" s="5" t="s">
        <v>61</v>
      </c>
      <c r="E23" s="5">
        <v>3</v>
      </c>
      <c r="F23" s="5" t="s">
        <v>13</v>
      </c>
      <c r="G23" s="5">
        <v>20</v>
      </c>
      <c r="H23" s="5">
        <v>12</v>
      </c>
      <c r="I23" s="5">
        <v>42</v>
      </c>
      <c r="J23" s="5">
        <v>0</v>
      </c>
      <c r="K23" s="5">
        <v>42</v>
      </c>
      <c r="L23" s="5">
        <v>0</v>
      </c>
      <c r="M23" s="5">
        <v>82</v>
      </c>
      <c r="N23" s="5" t="s">
        <v>49</v>
      </c>
      <c r="O23" s="5" t="s">
        <v>15</v>
      </c>
    </row>
    <row r="24" spans="1:20" s="6" customFormat="1" x14ac:dyDescent="0.2">
      <c r="A24" s="4">
        <v>4</v>
      </c>
      <c r="B24" s="5" t="s">
        <v>13</v>
      </c>
      <c r="C24" s="5">
        <v>42</v>
      </c>
      <c r="D24" s="5" t="s">
        <v>72</v>
      </c>
      <c r="E24" s="5">
        <v>4</v>
      </c>
      <c r="F24" s="5" t="s">
        <v>13</v>
      </c>
      <c r="G24" s="5">
        <v>50</v>
      </c>
      <c r="H24" s="5">
        <v>14</v>
      </c>
      <c r="I24" s="5">
        <v>48</v>
      </c>
      <c r="J24" s="5">
        <v>0</v>
      </c>
      <c r="K24" s="5">
        <v>48</v>
      </c>
      <c r="L24" s="5">
        <v>0</v>
      </c>
      <c r="M24" s="5">
        <v>130</v>
      </c>
      <c r="N24" s="5" t="s">
        <v>49</v>
      </c>
      <c r="O24" s="5" t="s">
        <v>15</v>
      </c>
    </row>
    <row r="25" spans="1:20" s="6" customFormat="1" x14ac:dyDescent="0.2">
      <c r="A25" s="4">
        <v>5</v>
      </c>
      <c r="B25" s="5" t="s">
        <v>13</v>
      </c>
      <c r="C25" s="5">
        <v>48</v>
      </c>
      <c r="D25" s="5" t="s">
        <v>78</v>
      </c>
      <c r="E25" s="5">
        <v>5</v>
      </c>
      <c r="F25" s="5" t="s">
        <v>13</v>
      </c>
      <c r="G25" s="5">
        <v>30</v>
      </c>
      <c r="H25" s="5">
        <v>13</v>
      </c>
      <c r="I25" s="5">
        <v>85</v>
      </c>
      <c r="J25" s="5">
        <v>0</v>
      </c>
      <c r="K25" s="5">
        <v>85</v>
      </c>
      <c r="L25" s="5">
        <v>0</v>
      </c>
      <c r="M25" s="5">
        <v>215</v>
      </c>
      <c r="N25" s="5" t="s">
        <v>49</v>
      </c>
      <c r="O25" s="5" t="s">
        <v>15</v>
      </c>
    </row>
    <row r="26" spans="1:20" s="6" customFormat="1" x14ac:dyDescent="0.2">
      <c r="A26" s="4">
        <v>6</v>
      </c>
      <c r="B26" s="5" t="s">
        <v>13</v>
      </c>
      <c r="C26" s="5">
        <v>85</v>
      </c>
      <c r="D26" s="5" t="s">
        <v>79</v>
      </c>
      <c r="E26" s="5">
        <v>6</v>
      </c>
      <c r="F26" s="5" t="s">
        <v>13</v>
      </c>
      <c r="G26" s="5">
        <v>50</v>
      </c>
      <c r="H26" s="5">
        <v>13</v>
      </c>
      <c r="I26" s="5">
        <v>102</v>
      </c>
      <c r="J26" s="5">
        <v>0</v>
      </c>
      <c r="K26" s="5">
        <v>102</v>
      </c>
      <c r="L26" s="5">
        <v>0</v>
      </c>
      <c r="M26" s="5">
        <v>317</v>
      </c>
      <c r="N26" s="5" t="s">
        <v>49</v>
      </c>
      <c r="O26" s="5" t="s">
        <v>15</v>
      </c>
    </row>
    <row r="27" spans="1:20" s="6" customFormat="1" x14ac:dyDescent="0.2">
      <c r="A27" s="4">
        <v>7</v>
      </c>
      <c r="B27" s="5" t="s">
        <v>13</v>
      </c>
      <c r="C27" s="5">
        <v>102</v>
      </c>
      <c r="D27" s="5" t="s">
        <v>80</v>
      </c>
      <c r="E27" s="5">
        <v>7</v>
      </c>
      <c r="F27" s="5" t="s">
        <v>13</v>
      </c>
      <c r="G27" s="5">
        <v>25</v>
      </c>
      <c r="H27" s="5">
        <v>9</v>
      </c>
      <c r="I27" s="5">
        <v>143</v>
      </c>
      <c r="J27" s="5">
        <v>0</v>
      </c>
      <c r="K27" s="5">
        <v>143</v>
      </c>
      <c r="L27" s="5">
        <v>0</v>
      </c>
      <c r="M27" s="5">
        <v>460</v>
      </c>
      <c r="N27" s="5" t="s">
        <v>49</v>
      </c>
      <c r="O27" s="5" t="s">
        <v>15</v>
      </c>
    </row>
    <row r="28" spans="1:20" s="6" customFormat="1" x14ac:dyDescent="0.2">
      <c r="A28" s="4">
        <v>8</v>
      </c>
      <c r="B28" s="5" t="s">
        <v>13</v>
      </c>
      <c r="C28" s="5">
        <v>143</v>
      </c>
      <c r="D28" s="5" t="s">
        <v>74</v>
      </c>
      <c r="E28" s="5">
        <v>8</v>
      </c>
      <c r="F28" s="5" t="s">
        <v>13</v>
      </c>
      <c r="G28" s="5">
        <v>25</v>
      </c>
      <c r="H28" s="5">
        <v>12</v>
      </c>
      <c r="I28" s="5">
        <v>156</v>
      </c>
      <c r="J28" s="5">
        <v>0</v>
      </c>
      <c r="K28" s="5">
        <v>156</v>
      </c>
      <c r="L28" s="5">
        <v>0</v>
      </c>
      <c r="M28" s="5">
        <v>616</v>
      </c>
      <c r="N28" s="5" t="s">
        <v>49</v>
      </c>
      <c r="O28" s="5" t="s">
        <v>15</v>
      </c>
    </row>
    <row r="29" spans="1:20" s="6" customFormat="1" x14ac:dyDescent="0.2">
      <c r="A29" s="4">
        <v>9</v>
      </c>
      <c r="B29" s="5" t="s">
        <v>13</v>
      </c>
      <c r="C29" s="5">
        <v>156</v>
      </c>
      <c r="D29" s="5" t="s">
        <v>81</v>
      </c>
      <c r="E29" s="5">
        <v>9</v>
      </c>
      <c r="F29" s="5" t="s">
        <v>13</v>
      </c>
      <c r="G29" s="5">
        <v>50</v>
      </c>
      <c r="H29" s="5">
        <v>11</v>
      </c>
      <c r="I29" s="5">
        <v>170</v>
      </c>
      <c r="J29" s="5">
        <v>0</v>
      </c>
      <c r="K29" s="5">
        <v>170</v>
      </c>
      <c r="L29" s="5">
        <v>0</v>
      </c>
      <c r="M29" s="5">
        <v>786</v>
      </c>
      <c r="N29" s="5" t="s">
        <v>49</v>
      </c>
      <c r="O29" s="5" t="s">
        <v>15</v>
      </c>
    </row>
    <row r="30" spans="1:20" s="6" customFormat="1" x14ac:dyDescent="0.2">
      <c r="A30" s="4">
        <v>10</v>
      </c>
      <c r="B30" s="5" t="s">
        <v>13</v>
      </c>
      <c r="C30" s="5">
        <v>170</v>
      </c>
      <c r="D30" s="5" t="s">
        <v>59</v>
      </c>
      <c r="E30" s="5">
        <v>10</v>
      </c>
      <c r="F30" s="5" t="s">
        <v>13</v>
      </c>
      <c r="G30" s="5">
        <v>20</v>
      </c>
      <c r="H30" s="5">
        <v>13</v>
      </c>
      <c r="I30" s="5">
        <v>207</v>
      </c>
      <c r="J30" s="5">
        <v>0</v>
      </c>
      <c r="K30" s="5">
        <v>207</v>
      </c>
      <c r="L30" s="5">
        <v>0</v>
      </c>
      <c r="M30" s="5">
        <v>993</v>
      </c>
      <c r="N30" s="5" t="s">
        <v>49</v>
      </c>
      <c r="O30" s="5" t="s">
        <v>15</v>
      </c>
    </row>
    <row r="31" spans="1:2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22" x14ac:dyDescent="0.2">
      <c r="A32" s="6"/>
      <c r="B32" s="6"/>
      <c r="C32" s="6"/>
      <c r="D32" s="6"/>
      <c r="E32" s="6"/>
      <c r="F32" s="6"/>
      <c r="G32" s="6"/>
      <c r="H32" s="9" t="s">
        <v>42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 x14ac:dyDescent="0.2">
      <c r="A34" s="4" t="s">
        <v>0</v>
      </c>
      <c r="B34" s="4" t="s">
        <v>1</v>
      </c>
      <c r="C34" s="4" t="s">
        <v>2</v>
      </c>
      <c r="D34" s="4" t="s">
        <v>3</v>
      </c>
      <c r="E34" s="4" t="s">
        <v>37</v>
      </c>
      <c r="F34" s="4" t="s">
        <v>38</v>
      </c>
      <c r="G34" s="4" t="s">
        <v>4</v>
      </c>
      <c r="H34" s="4" t="s">
        <v>5</v>
      </c>
      <c r="I34" s="4" t="s">
        <v>6</v>
      </c>
      <c r="J34" s="4" t="s">
        <v>7</v>
      </c>
      <c r="K34" s="4" t="s">
        <v>8</v>
      </c>
      <c r="L34" s="4" t="s">
        <v>9</v>
      </c>
      <c r="M34" s="4" t="s">
        <v>10</v>
      </c>
      <c r="N34" s="4" t="s">
        <v>11</v>
      </c>
      <c r="O34" s="4" t="s">
        <v>12</v>
      </c>
    </row>
    <row r="35" spans="1:20" s="6" customFormat="1" x14ac:dyDescent="0.2">
      <c r="A35" s="4">
        <v>0</v>
      </c>
      <c r="B35" s="5" t="s">
        <v>13</v>
      </c>
      <c r="C35" s="5">
        <v>10</v>
      </c>
      <c r="D35" s="5" t="s">
        <v>14</v>
      </c>
      <c r="E35" s="5">
        <v>0</v>
      </c>
      <c r="F35" s="5" t="s">
        <v>13</v>
      </c>
      <c r="G35" s="1"/>
      <c r="H35" s="1"/>
      <c r="I35" s="1"/>
      <c r="J35" s="1"/>
      <c r="K35" s="1"/>
      <c r="L35" s="1"/>
      <c r="M35" s="5">
        <v>0</v>
      </c>
      <c r="N35" s="5" t="s">
        <v>49</v>
      </c>
      <c r="O35" s="5" t="s">
        <v>15</v>
      </c>
    </row>
    <row r="36" spans="1:20" s="6" customFormat="1" x14ac:dyDescent="0.2">
      <c r="A36" s="4">
        <v>1</v>
      </c>
      <c r="B36" s="5" t="s">
        <v>13</v>
      </c>
      <c r="C36" s="5">
        <v>10</v>
      </c>
      <c r="D36" s="5" t="s">
        <v>50</v>
      </c>
      <c r="E36" s="5">
        <v>1</v>
      </c>
      <c r="F36" s="5" t="s">
        <v>13</v>
      </c>
      <c r="G36" s="5">
        <v>20</v>
      </c>
      <c r="H36" s="5">
        <v>11</v>
      </c>
      <c r="I36" s="5">
        <v>4</v>
      </c>
      <c r="J36" s="5">
        <v>0</v>
      </c>
      <c r="K36" s="5">
        <v>4</v>
      </c>
      <c r="L36" s="5">
        <v>0</v>
      </c>
      <c r="M36" s="5">
        <v>4</v>
      </c>
      <c r="N36" s="5" t="s">
        <v>49</v>
      </c>
      <c r="O36" s="5" t="s">
        <v>15</v>
      </c>
    </row>
    <row r="37" spans="1:20" s="6" customFormat="1" x14ac:dyDescent="0.2">
      <c r="A37" s="4">
        <v>2</v>
      </c>
      <c r="B37" s="5" t="s">
        <v>13</v>
      </c>
      <c r="C37" s="5">
        <v>4</v>
      </c>
      <c r="D37" s="5" t="s">
        <v>70</v>
      </c>
      <c r="E37" s="5">
        <v>2</v>
      </c>
      <c r="F37" s="5" t="s">
        <v>13</v>
      </c>
      <c r="G37" s="5">
        <v>50</v>
      </c>
      <c r="H37" s="5">
        <v>11</v>
      </c>
      <c r="I37" s="5">
        <v>13</v>
      </c>
      <c r="J37" s="5">
        <v>0</v>
      </c>
      <c r="K37" s="5">
        <v>13</v>
      </c>
      <c r="L37" s="5">
        <v>0</v>
      </c>
      <c r="M37" s="5">
        <v>17</v>
      </c>
      <c r="N37" s="5" t="s">
        <v>49</v>
      </c>
      <c r="O37" s="5" t="s">
        <v>15</v>
      </c>
    </row>
    <row r="38" spans="1:20" s="6" customFormat="1" x14ac:dyDescent="0.2">
      <c r="A38" s="4">
        <v>3</v>
      </c>
      <c r="B38" s="5" t="s">
        <v>13</v>
      </c>
      <c r="C38" s="5">
        <v>13</v>
      </c>
      <c r="D38" s="5" t="s">
        <v>71</v>
      </c>
      <c r="E38" s="5">
        <v>3</v>
      </c>
      <c r="F38" s="5" t="s">
        <v>13</v>
      </c>
      <c r="G38" s="5">
        <v>50</v>
      </c>
      <c r="H38" s="5">
        <v>14</v>
      </c>
      <c r="I38" s="5">
        <v>49</v>
      </c>
      <c r="J38" s="5">
        <v>0</v>
      </c>
      <c r="K38" s="5">
        <v>49</v>
      </c>
      <c r="L38" s="5">
        <v>0</v>
      </c>
      <c r="M38" s="5">
        <v>66</v>
      </c>
      <c r="N38" s="5" t="s">
        <v>49</v>
      </c>
      <c r="O38" s="5" t="s">
        <v>15</v>
      </c>
    </row>
    <row r="39" spans="1:20" s="6" customFormat="1" x14ac:dyDescent="0.2">
      <c r="A39" s="4">
        <v>4</v>
      </c>
      <c r="B39" s="5" t="s">
        <v>13</v>
      </c>
      <c r="C39" s="5">
        <v>49</v>
      </c>
      <c r="D39" s="5" t="s">
        <v>82</v>
      </c>
      <c r="E39" s="5">
        <v>4</v>
      </c>
      <c r="F39" s="5" t="s">
        <v>13</v>
      </c>
      <c r="G39" s="5">
        <v>30</v>
      </c>
      <c r="H39" s="5">
        <v>13</v>
      </c>
      <c r="I39" s="5">
        <v>86</v>
      </c>
      <c r="J39" s="5">
        <v>0</v>
      </c>
      <c r="K39" s="5">
        <v>86</v>
      </c>
      <c r="L39" s="5">
        <v>0</v>
      </c>
      <c r="M39" s="5">
        <v>152</v>
      </c>
      <c r="N39" s="5" t="s">
        <v>49</v>
      </c>
      <c r="O39" s="5" t="s">
        <v>15</v>
      </c>
    </row>
    <row r="40" spans="1:20" s="6" customFormat="1" x14ac:dyDescent="0.2">
      <c r="A40" s="4">
        <v>5</v>
      </c>
      <c r="B40" s="5" t="s">
        <v>13</v>
      </c>
      <c r="C40" s="5">
        <v>86</v>
      </c>
      <c r="D40" s="5" t="s">
        <v>78</v>
      </c>
      <c r="E40" s="5">
        <v>5</v>
      </c>
      <c r="F40" s="5" t="s">
        <v>13</v>
      </c>
      <c r="G40" s="5">
        <v>30</v>
      </c>
      <c r="H40" s="5">
        <v>14</v>
      </c>
      <c r="I40" s="5">
        <v>102</v>
      </c>
      <c r="J40" s="5">
        <v>0</v>
      </c>
      <c r="K40" s="5">
        <v>102</v>
      </c>
      <c r="L40" s="5">
        <v>0</v>
      </c>
      <c r="M40" s="5">
        <v>254</v>
      </c>
      <c r="N40" s="5" t="s">
        <v>49</v>
      </c>
      <c r="O40" s="5" t="s">
        <v>15</v>
      </c>
    </row>
    <row r="41" spans="1:20" s="6" customFormat="1" x14ac:dyDescent="0.2">
      <c r="A41" s="4">
        <v>6</v>
      </c>
      <c r="B41" s="5" t="s">
        <v>13</v>
      </c>
      <c r="C41" s="5">
        <v>102</v>
      </c>
      <c r="D41" s="5" t="s">
        <v>79</v>
      </c>
      <c r="E41" s="5">
        <v>6</v>
      </c>
      <c r="F41" s="5" t="s">
        <v>13</v>
      </c>
      <c r="G41" s="5">
        <v>50</v>
      </c>
      <c r="H41" s="5">
        <v>10</v>
      </c>
      <c r="I41" s="5">
        <v>122</v>
      </c>
      <c r="J41" s="5">
        <v>0</v>
      </c>
      <c r="K41" s="5">
        <v>122</v>
      </c>
      <c r="L41" s="5">
        <v>0</v>
      </c>
      <c r="M41" s="5">
        <v>376</v>
      </c>
      <c r="N41" s="5" t="s">
        <v>49</v>
      </c>
      <c r="O41" s="5" t="s">
        <v>15</v>
      </c>
    </row>
    <row r="42" spans="1:20" s="6" customFormat="1" x14ac:dyDescent="0.2">
      <c r="A42" s="4">
        <v>7</v>
      </c>
      <c r="B42" s="5" t="s">
        <v>13</v>
      </c>
      <c r="C42" s="5">
        <v>122</v>
      </c>
      <c r="D42" s="5" t="s">
        <v>73</v>
      </c>
      <c r="E42" s="5">
        <v>7</v>
      </c>
      <c r="F42" s="5" t="s">
        <v>13</v>
      </c>
      <c r="G42" s="5">
        <v>50</v>
      </c>
      <c r="H42" s="5">
        <v>13</v>
      </c>
      <c r="I42" s="5">
        <v>159</v>
      </c>
      <c r="J42" s="5">
        <v>0</v>
      </c>
      <c r="K42" s="5">
        <v>159</v>
      </c>
      <c r="L42" s="5">
        <v>0</v>
      </c>
      <c r="M42" s="5">
        <v>535</v>
      </c>
      <c r="N42" s="5" t="s">
        <v>49</v>
      </c>
      <c r="O42" s="5" t="s">
        <v>15</v>
      </c>
    </row>
    <row r="43" spans="1:20" s="6" customFormat="1" x14ac:dyDescent="0.2">
      <c r="A43" s="4">
        <v>8</v>
      </c>
      <c r="B43" s="5" t="s">
        <v>13</v>
      </c>
      <c r="C43" s="5">
        <v>159</v>
      </c>
      <c r="D43" s="5" t="s">
        <v>57</v>
      </c>
      <c r="E43" s="5">
        <v>8</v>
      </c>
      <c r="F43" s="5" t="s">
        <v>13</v>
      </c>
      <c r="G43" s="5">
        <v>20</v>
      </c>
      <c r="H43" s="5">
        <v>10</v>
      </c>
      <c r="I43" s="5">
        <v>199</v>
      </c>
      <c r="J43" s="5">
        <v>0</v>
      </c>
      <c r="K43" s="5">
        <v>199</v>
      </c>
      <c r="L43" s="5">
        <v>0</v>
      </c>
      <c r="M43" s="5">
        <v>734</v>
      </c>
      <c r="N43" s="5" t="s">
        <v>49</v>
      </c>
      <c r="O43" s="5" t="s">
        <v>15</v>
      </c>
    </row>
    <row r="44" spans="1:20" s="6" customFormat="1" x14ac:dyDescent="0.2">
      <c r="A44" s="4">
        <v>9</v>
      </c>
      <c r="B44" s="5" t="s">
        <v>13</v>
      </c>
      <c r="C44" s="5">
        <v>199</v>
      </c>
      <c r="D44" s="5" t="s">
        <v>81</v>
      </c>
      <c r="E44" s="5">
        <v>9</v>
      </c>
      <c r="F44" s="5" t="s">
        <v>13</v>
      </c>
      <c r="G44" s="5">
        <v>50</v>
      </c>
      <c r="H44" s="5">
        <v>12</v>
      </c>
      <c r="I44" s="5">
        <v>207</v>
      </c>
      <c r="J44" s="5">
        <v>0</v>
      </c>
      <c r="K44" s="5">
        <v>207</v>
      </c>
      <c r="L44" s="5">
        <v>0</v>
      </c>
      <c r="M44" s="5">
        <v>941</v>
      </c>
      <c r="N44" s="5" t="s">
        <v>49</v>
      </c>
      <c r="O44" s="5" t="s">
        <v>15</v>
      </c>
    </row>
    <row r="45" spans="1:20" s="6" customFormat="1" x14ac:dyDescent="0.2">
      <c r="A45" s="4">
        <v>10</v>
      </c>
      <c r="B45" s="5" t="s">
        <v>13</v>
      </c>
      <c r="C45" s="5">
        <v>207</v>
      </c>
      <c r="D45" s="5" t="s">
        <v>76</v>
      </c>
      <c r="E45" s="5">
        <v>10</v>
      </c>
      <c r="F45" s="5" t="s">
        <v>13</v>
      </c>
      <c r="G45" s="5">
        <v>50</v>
      </c>
      <c r="H45" s="5">
        <v>12</v>
      </c>
      <c r="I45" s="5">
        <v>245</v>
      </c>
      <c r="J45" s="5">
        <v>0</v>
      </c>
      <c r="K45" s="5">
        <v>245</v>
      </c>
      <c r="L45" s="5">
        <v>0</v>
      </c>
      <c r="M45" s="5">
        <v>1186</v>
      </c>
      <c r="N45" s="5" t="s">
        <v>49</v>
      </c>
      <c r="O45" s="5" t="s">
        <v>15</v>
      </c>
    </row>
    <row r="46" spans="1:2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22" x14ac:dyDescent="0.2">
      <c r="A47" s="6"/>
      <c r="B47" s="6"/>
      <c r="C47" s="6"/>
      <c r="D47" s="6"/>
      <c r="E47" s="6"/>
      <c r="F47" s="6"/>
      <c r="G47" s="6"/>
      <c r="H47" s="9" t="s">
        <v>44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2">
      <c r="A48" s="6"/>
      <c r="B48" s="6"/>
      <c r="C48" s="6"/>
      <c r="D48" s="6"/>
      <c r="E48" s="6"/>
      <c r="F48" s="6"/>
      <c r="G48" s="6"/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">
      <c r="A49" s="4" t="s">
        <v>0</v>
      </c>
      <c r="B49" s="4" t="s">
        <v>1</v>
      </c>
      <c r="C49" s="4" t="s">
        <v>2</v>
      </c>
      <c r="D49" s="4" t="s">
        <v>3</v>
      </c>
      <c r="E49" s="4" t="s">
        <v>37</v>
      </c>
      <c r="F49" s="4" t="s">
        <v>38</v>
      </c>
      <c r="G49" s="4" t="s">
        <v>4</v>
      </c>
      <c r="H49" s="4" t="s">
        <v>5</v>
      </c>
      <c r="I49" s="4" t="s">
        <v>6</v>
      </c>
      <c r="J49" s="4" t="s">
        <v>7</v>
      </c>
      <c r="K49" s="4" t="s">
        <v>8</v>
      </c>
      <c r="L49" s="4" t="s">
        <v>9</v>
      </c>
      <c r="M49" s="4" t="s">
        <v>10</v>
      </c>
      <c r="N49" s="4" t="s">
        <v>11</v>
      </c>
      <c r="O49" s="4" t="s">
        <v>12</v>
      </c>
      <c r="P49" s="6"/>
      <c r="Q49" s="6"/>
      <c r="R49" s="6"/>
      <c r="S49" s="6"/>
      <c r="T49" s="6"/>
    </row>
    <row r="50" spans="1:20" x14ac:dyDescent="0.2">
      <c r="A50" s="4">
        <v>0</v>
      </c>
      <c r="B50" s="5" t="s">
        <v>13</v>
      </c>
      <c r="C50" s="5">
        <v>10</v>
      </c>
      <c r="D50" s="5" t="s">
        <v>14</v>
      </c>
      <c r="E50" s="5">
        <v>0</v>
      </c>
      <c r="F50" s="5" t="s">
        <v>13</v>
      </c>
      <c r="G50" s="1"/>
      <c r="H50" s="1"/>
      <c r="I50" s="1"/>
      <c r="J50" s="1"/>
      <c r="K50" s="1"/>
      <c r="L50" s="1"/>
      <c r="M50" s="5">
        <v>0</v>
      </c>
      <c r="N50" s="5" t="s">
        <v>49</v>
      </c>
      <c r="O50" s="5" t="s">
        <v>15</v>
      </c>
      <c r="P50" s="6"/>
      <c r="Q50" s="6"/>
      <c r="R50" s="6"/>
      <c r="S50" s="6"/>
      <c r="T50" s="6"/>
    </row>
    <row r="51" spans="1:20" x14ac:dyDescent="0.2">
      <c r="A51" s="4">
        <v>1</v>
      </c>
      <c r="B51" s="5" t="s">
        <v>13</v>
      </c>
      <c r="C51" s="5">
        <v>10</v>
      </c>
      <c r="D51" s="5" t="s">
        <v>69</v>
      </c>
      <c r="E51" s="5">
        <v>1</v>
      </c>
      <c r="F51" s="5" t="s">
        <v>13</v>
      </c>
      <c r="G51" s="5">
        <v>50</v>
      </c>
      <c r="H51" s="5">
        <v>9</v>
      </c>
      <c r="I51" s="5">
        <v>6</v>
      </c>
      <c r="J51" s="5">
        <v>0</v>
      </c>
      <c r="K51" s="5">
        <v>6</v>
      </c>
      <c r="L51" s="5">
        <v>0</v>
      </c>
      <c r="M51" s="5">
        <v>6</v>
      </c>
      <c r="N51" s="5" t="s">
        <v>49</v>
      </c>
      <c r="O51" s="5" t="s">
        <v>15</v>
      </c>
      <c r="P51" s="6"/>
      <c r="Q51" s="6"/>
      <c r="R51" s="6"/>
      <c r="S51" s="6"/>
      <c r="T51" s="6"/>
    </row>
    <row r="52" spans="1:20" x14ac:dyDescent="0.2">
      <c r="A52" s="4">
        <v>2</v>
      </c>
      <c r="B52" s="5" t="s">
        <v>13</v>
      </c>
      <c r="C52" s="5">
        <v>6</v>
      </c>
      <c r="D52" s="5" t="s">
        <v>83</v>
      </c>
      <c r="E52" s="5">
        <v>2</v>
      </c>
      <c r="F52" s="5" t="s">
        <v>13</v>
      </c>
      <c r="G52" s="5">
        <v>30</v>
      </c>
      <c r="H52" s="5">
        <v>12</v>
      </c>
      <c r="I52" s="5">
        <v>44</v>
      </c>
      <c r="J52" s="5">
        <v>0</v>
      </c>
      <c r="K52" s="5">
        <v>44</v>
      </c>
      <c r="L52" s="5">
        <v>0</v>
      </c>
      <c r="M52" s="5">
        <v>50</v>
      </c>
      <c r="N52" s="5" t="s">
        <v>49</v>
      </c>
      <c r="O52" s="5" t="s">
        <v>15</v>
      </c>
      <c r="P52" s="6"/>
      <c r="Q52" s="6"/>
      <c r="R52" s="6"/>
      <c r="S52" s="6"/>
      <c r="T52" s="6"/>
    </row>
    <row r="53" spans="1:20" x14ac:dyDescent="0.2">
      <c r="A53" s="4">
        <v>3</v>
      </c>
      <c r="B53" s="5" t="s">
        <v>13</v>
      </c>
      <c r="C53" s="5">
        <v>44</v>
      </c>
      <c r="D53" s="5" t="s">
        <v>71</v>
      </c>
      <c r="E53" s="5">
        <v>3</v>
      </c>
      <c r="F53" s="5" t="s">
        <v>13</v>
      </c>
      <c r="G53" s="5">
        <v>50</v>
      </c>
      <c r="H53" s="5">
        <v>13</v>
      </c>
      <c r="I53" s="5">
        <v>61</v>
      </c>
      <c r="J53" s="5">
        <v>0</v>
      </c>
      <c r="K53" s="5">
        <v>61</v>
      </c>
      <c r="L53" s="5">
        <v>0</v>
      </c>
      <c r="M53" s="5">
        <v>111</v>
      </c>
      <c r="N53" s="5" t="s">
        <v>49</v>
      </c>
      <c r="O53" s="5" t="s">
        <v>15</v>
      </c>
      <c r="P53" s="6"/>
      <c r="Q53" s="6"/>
      <c r="R53" s="6"/>
      <c r="S53" s="6"/>
      <c r="T53" s="6"/>
    </row>
    <row r="54" spans="1:20" x14ac:dyDescent="0.2">
      <c r="A54" s="4">
        <v>4</v>
      </c>
      <c r="B54" s="5" t="s">
        <v>13</v>
      </c>
      <c r="C54" s="5">
        <v>61</v>
      </c>
      <c r="D54" s="5" t="s">
        <v>72</v>
      </c>
      <c r="E54" s="5">
        <v>4</v>
      </c>
      <c r="F54" s="5" t="s">
        <v>13</v>
      </c>
      <c r="G54" s="5">
        <v>50</v>
      </c>
      <c r="H54" s="5">
        <v>11</v>
      </c>
      <c r="I54" s="5">
        <v>100</v>
      </c>
      <c r="J54" s="5">
        <v>0</v>
      </c>
      <c r="K54" s="5">
        <v>100</v>
      </c>
      <c r="L54" s="5">
        <v>0</v>
      </c>
      <c r="M54" s="5">
        <v>211</v>
      </c>
      <c r="N54" s="5" t="s">
        <v>49</v>
      </c>
      <c r="O54" s="5" t="s">
        <v>15</v>
      </c>
      <c r="P54" s="6"/>
      <c r="Q54" s="6"/>
      <c r="R54" s="6"/>
      <c r="S54" s="6"/>
      <c r="T54" s="6"/>
    </row>
    <row r="55" spans="1:20" x14ac:dyDescent="0.2">
      <c r="A55" s="4">
        <v>5</v>
      </c>
      <c r="B55" s="5" t="s">
        <v>13</v>
      </c>
      <c r="C55" s="5">
        <v>100</v>
      </c>
      <c r="D55" s="5" t="s">
        <v>84</v>
      </c>
      <c r="E55" s="5">
        <v>5</v>
      </c>
      <c r="F55" s="5" t="s">
        <v>13</v>
      </c>
      <c r="G55" s="5">
        <v>0</v>
      </c>
      <c r="H55" s="5">
        <v>10</v>
      </c>
      <c r="I55" s="5">
        <v>140</v>
      </c>
      <c r="J55" s="5">
        <v>0</v>
      </c>
      <c r="K55" s="5">
        <v>140</v>
      </c>
      <c r="L55" s="5">
        <v>0</v>
      </c>
      <c r="M55" s="5">
        <v>351</v>
      </c>
      <c r="N55" s="5" t="s">
        <v>49</v>
      </c>
      <c r="O55" s="5" t="s">
        <v>15</v>
      </c>
      <c r="P55" s="6"/>
      <c r="Q55" s="6"/>
      <c r="R55" s="6"/>
      <c r="S55" s="6"/>
      <c r="T55" s="6"/>
    </row>
    <row r="56" spans="1:20" x14ac:dyDescent="0.2">
      <c r="A56" s="4">
        <v>6</v>
      </c>
      <c r="B56" s="5" t="s">
        <v>13</v>
      </c>
      <c r="C56" s="5">
        <v>140</v>
      </c>
      <c r="D56" s="5" t="s">
        <v>85</v>
      </c>
      <c r="E56" s="5">
        <v>6</v>
      </c>
      <c r="F56" s="5" t="s">
        <v>13</v>
      </c>
      <c r="G56" s="5">
        <v>0</v>
      </c>
      <c r="H56" s="5">
        <v>13</v>
      </c>
      <c r="I56" s="5">
        <v>127</v>
      </c>
      <c r="J56" s="5">
        <v>0</v>
      </c>
      <c r="K56" s="5">
        <v>127</v>
      </c>
      <c r="L56" s="5">
        <v>0</v>
      </c>
      <c r="M56" s="5">
        <v>478</v>
      </c>
      <c r="N56" s="5" t="s">
        <v>49</v>
      </c>
      <c r="O56" s="5" t="s">
        <v>15</v>
      </c>
      <c r="P56" s="6"/>
      <c r="Q56" s="6"/>
      <c r="R56" s="6"/>
      <c r="S56" s="6"/>
      <c r="T56" s="6"/>
    </row>
    <row r="57" spans="1:20" x14ac:dyDescent="0.2">
      <c r="A57" s="4">
        <v>7</v>
      </c>
      <c r="B57" s="5" t="s">
        <v>13</v>
      </c>
      <c r="C57" s="5">
        <v>127</v>
      </c>
      <c r="D57" s="5" t="s">
        <v>56</v>
      </c>
      <c r="E57" s="5">
        <v>7</v>
      </c>
      <c r="F57" s="5" t="s">
        <v>13</v>
      </c>
      <c r="G57" s="5">
        <v>20</v>
      </c>
      <c r="H57" s="5">
        <v>14</v>
      </c>
      <c r="I57" s="5">
        <v>113</v>
      </c>
      <c r="J57" s="5">
        <v>0</v>
      </c>
      <c r="K57" s="5">
        <v>113</v>
      </c>
      <c r="L57" s="5">
        <v>0</v>
      </c>
      <c r="M57" s="5">
        <v>591</v>
      </c>
      <c r="N57" s="5" t="s">
        <v>49</v>
      </c>
      <c r="O57" s="5" t="s">
        <v>15</v>
      </c>
      <c r="P57" s="6"/>
      <c r="Q57" s="6"/>
      <c r="R57" s="6"/>
      <c r="S57" s="6"/>
      <c r="T57" s="6"/>
    </row>
    <row r="58" spans="1:20" x14ac:dyDescent="0.2">
      <c r="A58" s="4">
        <v>8</v>
      </c>
      <c r="B58" s="5" t="s">
        <v>13</v>
      </c>
      <c r="C58" s="5">
        <v>113</v>
      </c>
      <c r="D58" s="5" t="s">
        <v>86</v>
      </c>
      <c r="E58" s="5">
        <v>8</v>
      </c>
      <c r="F58" s="5" t="s">
        <v>13</v>
      </c>
      <c r="G58" s="5">
        <v>50</v>
      </c>
      <c r="H58" s="5">
        <v>13</v>
      </c>
      <c r="I58" s="5">
        <v>120</v>
      </c>
      <c r="J58" s="5">
        <v>0</v>
      </c>
      <c r="K58" s="5">
        <v>120</v>
      </c>
      <c r="L58" s="5">
        <v>0</v>
      </c>
      <c r="M58" s="5">
        <v>711</v>
      </c>
      <c r="N58" s="5" t="s">
        <v>49</v>
      </c>
      <c r="O58" s="5" t="s">
        <v>15</v>
      </c>
      <c r="P58" s="6"/>
      <c r="Q58" s="6"/>
      <c r="R58" s="6"/>
      <c r="S58" s="6"/>
      <c r="T58" s="6"/>
    </row>
    <row r="59" spans="1:20" x14ac:dyDescent="0.2">
      <c r="A59" s="4">
        <v>9</v>
      </c>
      <c r="B59" s="5" t="s">
        <v>13</v>
      </c>
      <c r="C59" s="5">
        <v>120</v>
      </c>
      <c r="D59" s="5" t="s">
        <v>87</v>
      </c>
      <c r="E59" s="5">
        <v>9</v>
      </c>
      <c r="F59" s="5" t="s">
        <v>13</v>
      </c>
      <c r="G59" s="5">
        <v>0</v>
      </c>
      <c r="H59" s="5">
        <v>10</v>
      </c>
      <c r="I59" s="5">
        <v>160</v>
      </c>
      <c r="J59" s="5">
        <v>0</v>
      </c>
      <c r="K59" s="5">
        <v>160</v>
      </c>
      <c r="L59" s="5">
        <v>0</v>
      </c>
      <c r="M59" s="5">
        <v>871</v>
      </c>
      <c r="N59" s="5" t="s">
        <v>49</v>
      </c>
      <c r="O59" s="5" t="s">
        <v>15</v>
      </c>
      <c r="P59" s="6"/>
      <c r="Q59" s="6"/>
      <c r="R59" s="6"/>
      <c r="S59" s="6"/>
      <c r="T59" s="6"/>
    </row>
    <row r="60" spans="1:20" x14ac:dyDescent="0.2">
      <c r="A60" s="4">
        <v>10</v>
      </c>
      <c r="B60" s="5" t="s">
        <v>13</v>
      </c>
      <c r="C60" s="5">
        <v>160</v>
      </c>
      <c r="D60" s="5" t="s">
        <v>76</v>
      </c>
      <c r="E60" s="5">
        <v>10</v>
      </c>
      <c r="F60" s="5" t="s">
        <v>13</v>
      </c>
      <c r="G60" s="5">
        <v>50</v>
      </c>
      <c r="H60" s="5">
        <v>10</v>
      </c>
      <c r="I60" s="5">
        <v>150</v>
      </c>
      <c r="J60" s="5">
        <v>0</v>
      </c>
      <c r="K60" s="5">
        <v>150</v>
      </c>
      <c r="L60" s="5">
        <v>0</v>
      </c>
      <c r="M60" s="5">
        <v>1021</v>
      </c>
      <c r="N60" s="5" t="s">
        <v>49</v>
      </c>
      <c r="O60" s="5" t="s">
        <v>15</v>
      </c>
      <c r="P60" s="6"/>
      <c r="Q60" s="6"/>
      <c r="R60" s="6"/>
      <c r="S60" s="6"/>
      <c r="T60" s="6"/>
    </row>
    <row r="61" spans="1:2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22" x14ac:dyDescent="0.2">
      <c r="A62" s="6"/>
      <c r="B62" s="6"/>
      <c r="C62" s="6"/>
      <c r="D62" s="6"/>
      <c r="E62" s="6"/>
      <c r="F62" s="6"/>
      <c r="G62" s="6"/>
      <c r="H62" s="9" t="s">
        <v>45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">
      <c r="A63" s="6"/>
      <c r="B63" s="6"/>
      <c r="C63" s="6"/>
      <c r="D63" s="6"/>
      <c r="E63" s="6"/>
      <c r="F63" s="6"/>
      <c r="G63" s="6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2">
      <c r="A64" s="4" t="s">
        <v>0</v>
      </c>
      <c r="B64" s="4" t="s">
        <v>1</v>
      </c>
      <c r="C64" s="4" t="s">
        <v>2</v>
      </c>
      <c r="D64" s="4" t="s">
        <v>3</v>
      </c>
      <c r="E64" s="4" t="s">
        <v>37</v>
      </c>
      <c r="F64" s="4" t="s">
        <v>38</v>
      </c>
      <c r="G64" s="4" t="s">
        <v>4</v>
      </c>
      <c r="H64" s="4" t="s">
        <v>5</v>
      </c>
      <c r="I64" s="4" t="s">
        <v>6</v>
      </c>
      <c r="J64" s="4" t="s">
        <v>7</v>
      </c>
      <c r="K64" s="4" t="s">
        <v>8</v>
      </c>
      <c r="L64" s="4" t="s">
        <v>9</v>
      </c>
      <c r="M64" s="4" t="s">
        <v>10</v>
      </c>
      <c r="N64" s="4" t="s">
        <v>11</v>
      </c>
      <c r="O64" s="4" t="s">
        <v>12</v>
      </c>
      <c r="P64" s="6"/>
      <c r="Q64" s="6"/>
      <c r="R64" s="6"/>
      <c r="S64" s="6"/>
      <c r="T64" s="6"/>
    </row>
    <row r="65" spans="1:20" x14ac:dyDescent="0.2">
      <c r="A65" s="4">
        <v>0</v>
      </c>
      <c r="B65" s="5" t="s">
        <v>13</v>
      </c>
      <c r="C65" s="5">
        <v>10</v>
      </c>
      <c r="D65" s="5" t="s">
        <v>14</v>
      </c>
      <c r="E65" s="5">
        <v>0</v>
      </c>
      <c r="F65" s="5" t="s">
        <v>13</v>
      </c>
      <c r="G65" s="1"/>
      <c r="H65" s="1"/>
      <c r="I65" s="1"/>
      <c r="J65" s="1"/>
      <c r="K65" s="1"/>
      <c r="L65" s="1"/>
      <c r="M65" s="5">
        <v>0</v>
      </c>
      <c r="N65" s="5" t="s">
        <v>49</v>
      </c>
      <c r="O65" s="5" t="s">
        <v>15</v>
      </c>
      <c r="P65" s="6"/>
      <c r="Q65" s="6"/>
      <c r="R65" s="6"/>
      <c r="S65" s="6"/>
      <c r="T65" s="6"/>
    </row>
    <row r="66" spans="1:20" x14ac:dyDescent="0.2">
      <c r="A66" s="4">
        <v>1</v>
      </c>
      <c r="B66" s="5" t="s">
        <v>13</v>
      </c>
      <c r="C66" s="5">
        <v>10</v>
      </c>
      <c r="D66" s="5" t="s">
        <v>69</v>
      </c>
      <c r="E66" s="5">
        <v>1</v>
      </c>
      <c r="F66" s="5" t="s">
        <v>13</v>
      </c>
      <c r="G66" s="5">
        <v>50</v>
      </c>
      <c r="H66" s="5">
        <v>10</v>
      </c>
      <c r="I66" s="5">
        <v>5</v>
      </c>
      <c r="J66" s="5">
        <v>0</v>
      </c>
      <c r="K66" s="5">
        <v>5</v>
      </c>
      <c r="L66" s="5">
        <v>0</v>
      </c>
      <c r="M66" s="5">
        <v>5</v>
      </c>
      <c r="N66" s="5" t="s">
        <v>49</v>
      </c>
      <c r="O66" s="5" t="s">
        <v>15</v>
      </c>
      <c r="P66" s="6"/>
      <c r="Q66" s="6"/>
      <c r="R66" s="6"/>
      <c r="S66" s="6"/>
      <c r="T66" s="6"/>
    </row>
    <row r="67" spans="1:20" x14ac:dyDescent="0.2">
      <c r="A67" s="4">
        <v>2</v>
      </c>
      <c r="B67" s="5" t="s">
        <v>13</v>
      </c>
      <c r="C67" s="5">
        <v>5</v>
      </c>
      <c r="D67" s="5" t="s">
        <v>70</v>
      </c>
      <c r="E67" s="5">
        <v>2</v>
      </c>
      <c r="F67" s="5" t="s">
        <v>13</v>
      </c>
      <c r="G67" s="5">
        <v>50</v>
      </c>
      <c r="H67" s="5">
        <v>11</v>
      </c>
      <c r="I67" s="5">
        <v>44</v>
      </c>
      <c r="J67" s="5">
        <v>0</v>
      </c>
      <c r="K67" s="5">
        <v>44</v>
      </c>
      <c r="L67" s="5">
        <v>0</v>
      </c>
      <c r="M67" s="5">
        <v>49</v>
      </c>
      <c r="N67" s="5" t="s">
        <v>49</v>
      </c>
      <c r="O67" s="5" t="s">
        <v>15</v>
      </c>
      <c r="P67" s="6"/>
      <c r="Q67" s="6"/>
      <c r="R67" s="6"/>
      <c r="S67" s="6"/>
      <c r="T67" s="6"/>
    </row>
    <row r="68" spans="1:20" x14ac:dyDescent="0.2">
      <c r="A68" s="4">
        <v>3</v>
      </c>
      <c r="B68" s="5" t="s">
        <v>13</v>
      </c>
      <c r="C68" s="5">
        <v>44</v>
      </c>
      <c r="D68" s="5" t="s">
        <v>71</v>
      </c>
      <c r="E68" s="5">
        <v>3</v>
      </c>
      <c r="F68" s="5" t="s">
        <v>13</v>
      </c>
      <c r="G68" s="5">
        <v>50</v>
      </c>
      <c r="H68" s="5">
        <v>12</v>
      </c>
      <c r="I68" s="5">
        <v>82</v>
      </c>
      <c r="J68" s="5">
        <v>0</v>
      </c>
      <c r="K68" s="5">
        <v>82</v>
      </c>
      <c r="L68" s="5">
        <v>0</v>
      </c>
      <c r="M68" s="5">
        <v>131</v>
      </c>
      <c r="N68" s="5" t="s">
        <v>49</v>
      </c>
      <c r="O68" s="5" t="s">
        <v>15</v>
      </c>
      <c r="P68" s="6"/>
      <c r="Q68" s="6"/>
      <c r="R68" s="6"/>
      <c r="S68" s="6"/>
      <c r="T68" s="6"/>
    </row>
    <row r="69" spans="1:20" x14ac:dyDescent="0.2">
      <c r="A69" s="4">
        <v>4</v>
      </c>
      <c r="B69" s="5" t="s">
        <v>13</v>
      </c>
      <c r="C69" s="5">
        <v>82</v>
      </c>
      <c r="D69" s="5" t="s">
        <v>72</v>
      </c>
      <c r="E69" s="5">
        <v>4</v>
      </c>
      <c r="F69" s="5" t="s">
        <v>13</v>
      </c>
      <c r="G69" s="5">
        <v>50</v>
      </c>
      <c r="H69" s="5">
        <v>13</v>
      </c>
      <c r="I69" s="5">
        <v>119</v>
      </c>
      <c r="J69" s="5">
        <v>0</v>
      </c>
      <c r="K69" s="5">
        <v>119</v>
      </c>
      <c r="L69" s="5">
        <v>0</v>
      </c>
      <c r="M69" s="5">
        <v>250</v>
      </c>
      <c r="N69" s="5" t="s">
        <v>49</v>
      </c>
      <c r="O69" s="5" t="s">
        <v>15</v>
      </c>
      <c r="P69" s="6"/>
      <c r="Q69" s="6"/>
      <c r="R69" s="6"/>
      <c r="S69" s="6"/>
      <c r="T69" s="6"/>
    </row>
    <row r="70" spans="1:20" x14ac:dyDescent="0.2">
      <c r="A70" s="4">
        <v>5</v>
      </c>
      <c r="B70" s="5" t="s">
        <v>13</v>
      </c>
      <c r="C70" s="5">
        <v>119</v>
      </c>
      <c r="D70" s="5" t="s">
        <v>63</v>
      </c>
      <c r="E70" s="5">
        <v>5</v>
      </c>
      <c r="F70" s="5" t="s">
        <v>13</v>
      </c>
      <c r="G70" s="5">
        <v>50</v>
      </c>
      <c r="H70" s="5">
        <v>12</v>
      </c>
      <c r="I70" s="5">
        <v>157</v>
      </c>
      <c r="J70" s="5">
        <v>0</v>
      </c>
      <c r="K70" s="5">
        <v>157</v>
      </c>
      <c r="L70" s="5">
        <v>0</v>
      </c>
      <c r="M70" s="5">
        <v>407</v>
      </c>
      <c r="N70" s="5" t="s">
        <v>49</v>
      </c>
      <c r="O70" s="5" t="s">
        <v>15</v>
      </c>
      <c r="P70" s="6"/>
      <c r="Q70" s="6"/>
      <c r="R70" s="6"/>
      <c r="S70" s="6"/>
      <c r="T70" s="6"/>
    </row>
    <row r="71" spans="1:20" x14ac:dyDescent="0.2">
      <c r="A71" s="4">
        <v>6</v>
      </c>
      <c r="B71" s="5" t="s">
        <v>13</v>
      </c>
      <c r="C71" s="5">
        <v>157</v>
      </c>
      <c r="D71" s="5" t="s">
        <v>65</v>
      </c>
      <c r="E71" s="5">
        <v>6</v>
      </c>
      <c r="F71" s="5" t="s">
        <v>13</v>
      </c>
      <c r="G71" s="5">
        <v>15</v>
      </c>
      <c r="H71" s="5">
        <v>12</v>
      </c>
      <c r="I71" s="5">
        <v>195</v>
      </c>
      <c r="J71" s="5">
        <v>0</v>
      </c>
      <c r="K71" s="5">
        <v>195</v>
      </c>
      <c r="L71" s="5">
        <v>0</v>
      </c>
      <c r="M71" s="5">
        <v>602</v>
      </c>
      <c r="N71" s="5" t="s">
        <v>49</v>
      </c>
      <c r="O71" s="5" t="s">
        <v>15</v>
      </c>
      <c r="P71" s="6"/>
      <c r="Q71" s="6"/>
      <c r="R71" s="6"/>
      <c r="S71" s="6"/>
      <c r="T71" s="6"/>
    </row>
    <row r="72" spans="1:20" x14ac:dyDescent="0.2">
      <c r="A72" s="4">
        <v>7</v>
      </c>
      <c r="B72" s="5" t="s">
        <v>13</v>
      </c>
      <c r="C72" s="5">
        <v>195</v>
      </c>
      <c r="D72" s="5" t="s">
        <v>73</v>
      </c>
      <c r="E72" s="5">
        <v>7</v>
      </c>
      <c r="F72" s="5" t="s">
        <v>13</v>
      </c>
      <c r="G72" s="5">
        <v>50</v>
      </c>
      <c r="H72" s="5">
        <v>9</v>
      </c>
      <c r="I72" s="5">
        <v>201</v>
      </c>
      <c r="J72" s="5">
        <v>0</v>
      </c>
      <c r="K72" s="5">
        <v>201</v>
      </c>
      <c r="L72" s="5">
        <v>0</v>
      </c>
      <c r="M72" s="5">
        <v>803</v>
      </c>
      <c r="N72" s="5" t="s">
        <v>49</v>
      </c>
      <c r="O72" s="5" t="s">
        <v>15</v>
      </c>
      <c r="P72" s="6"/>
      <c r="Q72" s="6"/>
      <c r="R72" s="6"/>
      <c r="S72" s="6"/>
      <c r="T72" s="6"/>
    </row>
    <row r="73" spans="1:20" x14ac:dyDescent="0.2">
      <c r="A73" s="4">
        <v>8</v>
      </c>
      <c r="B73" s="5" t="s">
        <v>13</v>
      </c>
      <c r="C73" s="5">
        <v>201</v>
      </c>
      <c r="D73" s="5" t="s">
        <v>88</v>
      </c>
      <c r="E73" s="5">
        <v>8</v>
      </c>
      <c r="F73" s="5" t="s">
        <v>13</v>
      </c>
      <c r="G73" s="5">
        <v>10</v>
      </c>
      <c r="H73" s="5">
        <v>13</v>
      </c>
      <c r="I73" s="5">
        <v>238</v>
      </c>
      <c r="J73" s="5">
        <v>0</v>
      </c>
      <c r="K73" s="5">
        <v>238</v>
      </c>
      <c r="L73" s="5">
        <v>0</v>
      </c>
      <c r="M73" s="5">
        <v>1041</v>
      </c>
      <c r="N73" s="5" t="s">
        <v>49</v>
      </c>
      <c r="O73" s="5" t="s">
        <v>15</v>
      </c>
      <c r="P73" s="6"/>
      <c r="Q73" s="6"/>
      <c r="R73" s="6"/>
      <c r="S73" s="6"/>
      <c r="T73" s="6"/>
    </row>
    <row r="74" spans="1:20" x14ac:dyDescent="0.2">
      <c r="A74" s="4">
        <v>9</v>
      </c>
      <c r="B74" s="5" t="s">
        <v>13</v>
      </c>
      <c r="C74" s="5">
        <v>238</v>
      </c>
      <c r="D74" s="5" t="s">
        <v>81</v>
      </c>
      <c r="E74" s="5">
        <v>9</v>
      </c>
      <c r="F74" s="5" t="s">
        <v>13</v>
      </c>
      <c r="G74" s="5">
        <v>50</v>
      </c>
      <c r="H74" s="5">
        <v>9</v>
      </c>
      <c r="I74" s="5">
        <v>239</v>
      </c>
      <c r="J74" s="5">
        <v>0</v>
      </c>
      <c r="K74" s="5">
        <v>239</v>
      </c>
      <c r="L74" s="5">
        <v>0</v>
      </c>
      <c r="M74" s="5">
        <v>1280</v>
      </c>
      <c r="N74" s="5" t="s">
        <v>49</v>
      </c>
      <c r="O74" s="5" t="s">
        <v>15</v>
      </c>
      <c r="P74" s="6"/>
      <c r="Q74" s="6"/>
      <c r="R74" s="6"/>
      <c r="S74" s="6"/>
      <c r="T74" s="6"/>
    </row>
    <row r="75" spans="1:20" x14ac:dyDescent="0.2">
      <c r="A75" s="4">
        <v>10</v>
      </c>
      <c r="B75" s="5" t="s">
        <v>13</v>
      </c>
      <c r="C75" s="5">
        <v>239</v>
      </c>
      <c r="D75" s="5" t="s">
        <v>89</v>
      </c>
      <c r="E75" s="5">
        <v>10</v>
      </c>
      <c r="F75" s="5" t="s">
        <v>13</v>
      </c>
      <c r="G75" s="5">
        <v>30</v>
      </c>
      <c r="H75" s="5">
        <v>10</v>
      </c>
      <c r="I75" s="5">
        <v>279</v>
      </c>
      <c r="J75" s="5">
        <v>0</v>
      </c>
      <c r="K75" s="5">
        <v>279</v>
      </c>
      <c r="L75" s="5">
        <v>0</v>
      </c>
      <c r="M75" s="5">
        <v>1559</v>
      </c>
      <c r="N75" s="5" t="s">
        <v>49</v>
      </c>
      <c r="O75" s="5" t="s">
        <v>15</v>
      </c>
      <c r="P75" s="6"/>
      <c r="Q75" s="6"/>
      <c r="R75" s="6"/>
      <c r="S75" s="6"/>
      <c r="T75" s="6"/>
    </row>
    <row r="76" spans="1:20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Prompt 1</vt:lpstr>
      <vt:lpstr>Prompt 2</vt:lpstr>
      <vt:lpstr>Prompt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Abhay Sinha</dc:creator>
  <cp:lastModifiedBy>Simran Abhay Sinha</cp:lastModifiedBy>
  <dcterms:created xsi:type="dcterms:W3CDTF">2026-01-31T20:11:49Z</dcterms:created>
  <dcterms:modified xsi:type="dcterms:W3CDTF">2026-02-01T04:26:13Z</dcterms:modified>
</cp:coreProperties>
</file>