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2" codeName="{E5D1E7B1-6628-F0F0-D09B-76B25B5F3CD3}"/>
  <workbookPr codeName="ThisWorkbook"/>
  <mc:AlternateContent xmlns:mc="http://schemas.openxmlformats.org/markup-compatibility/2006">
    <mc:Choice Requires="x15">
      <x15ac:absPath xmlns:x15ac="http://schemas.microsoft.com/office/spreadsheetml/2010/11/ac" url="/Users/simransinha/Documents/Semester 4 /Generative AI/Assignment/Assignment 2/"/>
    </mc:Choice>
  </mc:AlternateContent>
  <xr:revisionPtr revIDLastSave="0" documentId="13_ncr:1_{CB9A803B-65BC-D14C-B6CD-461743163182}" xr6:coauthVersionLast="47" xr6:coauthVersionMax="47" xr10:uidLastSave="{00000000-0000-0000-0000-000000000000}"/>
  <bookViews>
    <workbookView xWindow="0" yWindow="660" windowWidth="29400" windowHeight="18460" firstSheet="1" activeTab="2" xr2:uid="{61EE4600-7D14-4B69-844B-99F45E136EF8}"/>
  </bookViews>
  <sheets>
    <sheet name="Intro" sheetId="8" r:id="rId1"/>
    <sheet name="AI_Reply" sheetId="11" r:id="rId2"/>
    <sheet name="Assignment" sheetId="12" r:id="rId3"/>
  </sheets>
  <functionGroups builtInGroupCount="19"/>
  <calcPr calcId="191028"/>
  <extLst>
    <ext xmlns:x14="http://schemas.microsoft.com/office/spreadsheetml/2009/9/main" uri="{8193D73E-4604-4355-AFF4-8A2333D13BE4}">
      <x14:definedNames>
        <x14:definedName name="AI_Reply">
          <x14:argumentDescriptions count="3">
            <x14:argumentDescription index="0">Your OpenAI API key (required).</x14:argumentDescription>
            <x14:argumentDescription index="1">The text prompt or query for AI (required).</x14:argumentDescription>
            <x14:argumentDescription index="2">The AI model to use (optional, default is 'ChatGPT').</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2" l="1" a="1"/>
  <c r="C57" i="12" a="1"/>
  <c r="C56" i="12" a="1"/>
  <c r="C44" i="12" a="1"/>
  <c r="C43" i="12" a="1"/>
  <c r="C42" i="12" a="1"/>
  <c r="C27" i="12" a="1"/>
  <c r="C26" i="12" a="1"/>
  <c r="C25" i="12" a="1"/>
  <c r="C17" i="11" a="1"/>
  <c r="C9" i="11" a="1"/>
  <c r="C14" i="11" a="1"/>
  <c r="C13" i="11" a="1"/>
  <c r="C11" i="11" a="1"/>
  <c r="C16" i="11" a="1"/>
  <c r="C15" i="11" a="1"/>
  <c r="C12" i="11" a="1"/>
  <c r="C10" i="11" a="1"/>
  <c r="C58" i="12" l="1"/>
  <c r="C57" i="12"/>
  <c r="C56" i="12"/>
  <c r="C44" i="12"/>
  <c r="C43" i="12"/>
  <c r="C42" i="12"/>
  <c r="C27" i="12"/>
  <c r="C26" i="12"/>
  <c r="C25" i="12"/>
  <c r="C17" i="11"/>
  <c r="C16" i="11"/>
  <c r="C15" i="11"/>
  <c r="C14" i="11"/>
  <c r="C13" i="11"/>
  <c r="C12" i="11"/>
  <c r="C11" i="11"/>
  <c r="C10" i="11"/>
  <c r="C9"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<sst xmlns="http://schemas.openxmlformats.org/spreadsheetml/2006/main" count="113" uniqueCount="96">
  <si>
    <t>Part-1: AI_Reply() function</t>
  </si>
  <si>
    <t>API Key:</t>
  </si>
  <si>
    <t>Default Model:</t>
  </si>
  <si>
    <t>gpt-4o</t>
  </si>
  <si>
    <t>Temperature:</t>
  </si>
  <si>
    <t>&gt;&gt; Use the AI_Reply function for the following use cases. Complete Samples 1–3 based on your defined questions and fields.</t>
  </si>
  <si>
    <t>Category</t>
  </si>
  <si>
    <t>Prompt</t>
  </si>
  <si>
    <t>Result</t>
  </si>
  <si>
    <t>Formatting</t>
  </si>
  <si>
    <t>Convert these numbers to a professional financial format with $ and 1 decimals: 1234567.89, 50000, 123.4.</t>
  </si>
  <si>
    <t>Data Analysis</t>
  </si>
  <si>
    <t>What insights can you identify from this sales trend: 120, 135, 128, 145, 160, 158, 175, 190?</t>
  </si>
  <si>
    <t>Content Creation</t>
  </si>
  <si>
    <t>Write a professional email announcing a 10% discount for our premium customers</t>
  </si>
  <si>
    <t>Problem Solving</t>
  </si>
  <si>
    <t>The current process takes 45 minutes and requires 3 people. How can we optimize this workflow?</t>
  </si>
  <si>
    <t>Data Cleaning</t>
  </si>
  <si>
    <t>Standardize these product codes: ABC-123, abc123, A.B.C._123, abc/123</t>
  </si>
  <si>
    <t>Translation</t>
  </si>
  <si>
    <t>Translate "Thank you for your business" into French with emojies.</t>
  </si>
  <si>
    <t xml:space="preserve">&gt;&gt;Provide your observations by listing the benefits and shortcomings of the following function.
</t>
  </si>
  <si>
    <t>Observations</t>
  </si>
  <si>
    <t>Benefits</t>
  </si>
  <si>
    <t>Shortcomings</t>
  </si>
  <si>
    <t>Summary</t>
  </si>
  <si>
    <t>Summarize the following text in 2 concise sentences:
“Our company launched a new analytics dashboard last quarter. Since launch, user engagement has increased by 35%, and customer feedback highlights improved usability and faster reporting.”</t>
  </si>
  <si>
    <t>Classification</t>
  </si>
  <si>
    <t xml:space="preserve"> Classify the sentiment of the following customer review as Positive, Neutral, or Negative:
“The product works well overall, but the setup process was confusing and took longer than expected.”</t>
  </si>
  <si>
    <t>Data Transformation</t>
  </si>
  <si>
    <t>Convert the following dates into YYYY-MM-DD format:
01/15/2026, 7-4-25, March 3 2024</t>
  </si>
  <si>
    <t>Automated reptitive task such as formatting, summarization, data transformation saves time and reduce manual work</t>
  </si>
  <si>
    <t>Output quality depends on the prompts is written, and vague prompts can lead to generic results</t>
  </si>
  <si>
    <t>Handles multiple use cases like analysis, content creation, translation and classification within the same excel workflow</t>
  </si>
  <si>
    <t>It may generate responses that need manual review, especially for business-critical or highly precise outputs</t>
  </si>
  <si>
    <t>Improves productivity by enabling non technical users to perform AI powered tasks directly inside Excel</t>
  </si>
  <si>
    <t xml:space="preserve">It depends on Internet connectivity and API availability, which can impact performance if the services is unavailable  </t>
  </si>
  <si>
    <t>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</t>
  </si>
  <si>
    <t>Part-2: Assignment 2</t>
  </si>
  <si>
    <t>Month</t>
  </si>
  <si>
    <t>Revenue</t>
  </si>
  <si>
    <t>Jan</t>
  </si>
  <si>
    <t>Feb</t>
  </si>
  <si>
    <t>Mar</t>
  </si>
  <si>
    <t>Apr</t>
  </si>
  <si>
    <t>May</t>
  </si>
  <si>
    <t>Jun</t>
  </si>
  <si>
    <t>Jul</t>
  </si>
  <si>
    <t>Aug</t>
  </si>
  <si>
    <t>Sep</t>
  </si>
  <si>
    <t>Oct</t>
  </si>
  <si>
    <t>Nov</t>
  </si>
  <si>
    <t>Dec</t>
  </si>
  <si>
    <t>Case 1</t>
  </si>
  <si>
    <t>Monthly Revenue Trend (Finances)</t>
  </si>
  <si>
    <t>Analyze the revenue trend</t>
  </si>
  <si>
    <t>Identify the revenue growth pattern, calculate the monthly growth rate, and highlight any seasonal trends or anomalies</t>
  </si>
  <si>
    <t>Perform a comprehensive trend analysis: 1) Calculate month-over-month growth rates and identify acceleration/deceleration points, 2) Forecast next quarter's revenue using the observed trend, 3) Identify the strongest growth period and explain potential business factors, 4) Provide actionable recommendations for sustaining this growth trajectory</t>
  </si>
  <si>
    <t>Prompts</t>
  </si>
  <si>
    <t>Level</t>
  </si>
  <si>
    <t>Output</t>
  </si>
  <si>
    <t>Basic</t>
  </si>
  <si>
    <t>Intermediate</t>
  </si>
  <si>
    <t>Advanced</t>
  </si>
  <si>
    <t>Case 2</t>
  </si>
  <si>
    <t>Customer Satisfaction Analysis (E-commerce)</t>
  </si>
  <si>
    <t>Product Category</t>
  </si>
  <si>
    <t>Avg Rating</t>
  </si>
  <si>
    <t>Review Count</t>
  </si>
  <si>
    <t>Return Rate</t>
  </si>
  <si>
    <t>Electronics</t>
  </si>
  <si>
    <t>Clothing</t>
  </si>
  <si>
    <t>Home and Kitchen</t>
  </si>
  <si>
    <t>Books</t>
  </si>
  <si>
    <t>Sports</t>
  </si>
  <si>
    <t>Beauty</t>
  </si>
  <si>
    <t>Toys</t>
  </si>
  <si>
    <t>Compare the product categories</t>
  </si>
  <si>
    <t>Analyze customer satisfaction across categories. Identify which categories have the highest and lowest ratings, and examine if there's a relationship between review count and rating</t>
  </si>
  <si>
    <t>Conduct a multi-dimensional customer satisfaction analysis: 1) Rank categories by overall satisfaction considering both rating and return rate, 2) Identify correlation between review volume, ratings, and return rates, 3) Flag high-risk categories (low rating + high returns) and opportunity categories (high rating + many reviews), 4) Provide specific action items for the bottom 3 performing categories to improve customer satisfaction and reduce returns</t>
  </si>
  <si>
    <t>Case 3</t>
  </si>
  <si>
    <t>Regional Sales Performance (Operations)</t>
  </si>
  <si>
    <t>Region</t>
  </si>
  <si>
    <t>North America</t>
  </si>
  <si>
    <t>Europe</t>
  </si>
  <si>
    <t>Asia Pacific</t>
  </si>
  <si>
    <t>Latin America</t>
  </si>
  <si>
    <t>Middle East</t>
  </si>
  <si>
    <t>Q1 Sales</t>
  </si>
  <si>
    <t>Q2 Sales</t>
  </si>
  <si>
    <t>Q3 Sales</t>
  </si>
  <si>
    <t>Q4 Sales</t>
  </si>
  <si>
    <t>Sales Target</t>
  </si>
  <si>
    <t>Summarize sales by region</t>
  </si>
  <si>
    <t>Analyze quarterly sales performance across regions. Calculate total annual sales per region, identify which regions met their targets, and determine the best and worst performing quarters</t>
  </si>
  <si>
    <t>Execute a comprehensive regional performance analysis: 1) Calculate quarterly growth rates and identify momentum trends for each region, 2) Determine which regions exceeded/missed annual targets and by what percentage, 3) Identify the fastest-growing region and analyze its quarterly trajectory, 4) Detect any concerning downward trends (e.g., Q2 to Q3 decline), 5) Provide strategic recommendations for resource allocation across regions for next fiscal year, prioritizing high-growth markets and turnaround strategies for underperforming regions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</si>
</sst>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b/>
      <sz val="18"/>
      <color theme="1"/>
      <name val="Aptos Narrow"/>
      <family val="2"/>
      <scheme val="minor"/>
    </font>
    <font>
      <b/>
      <sz val="10"/>
      <color theme="1"/>
      <name val="Arial Unicode MS"/>
      <family val="2"/>
    </font>
    <font>
      <b/>
      <sz val="11"/>
      <color theme="0"/>
      <name val="Aptos Narrow"/>
      <family val="2"/>
      <scheme val="minor"/>
    </font>
    <font>
      <b/>
      <sz val="11"/>
      <color theme="1"/>
      <name val="Aptos Narrow"/>
      <family val="2"/>
      <scheme val="minor"/>
    </font>
    <font>
      <sz val="14"/>
      <color theme="0"/>
      <name val="Aptos Narrow"/>
      <family val="2"/>
      <scheme val="minor"/>
    </font>
    <font>
      <b/>
      <sz val="20"/>
      <color theme="0"/>
      <name val="Aptos Narrow"/>
      <family val="2"/>
      <scheme val="minor"/>
    </font>
    <font>
      <sz val="13"/>
      <color rgb="FF273540"/>
      <name val="Monaco"/>
      <family val="2"/>
    </font>
    <font>
      <sz val="11"/>
      <color rgb="FF273540"/>
      <name val="Monaco"/>
      <family val="2"/>
    </font>
    <font>
      <sz val="11"/>
      <color theme="1"/>
      <name val="Helvetica Neue"/>
      <family val="2"/>
    </font>
    <font>
      <sz val="16"/>
      <color theme="0"/>
      <name val="Aptos Narrow"/>
      <family val="2"/>
      <scheme val="minor"/>
    </font>
    <font>
      <b/>
      <sz val="16"/>
      <color theme="0"/>
      <name val="Aptos Narrow"/>
      <family val="2"/>
      <scheme val="minor"/>
    </font>
    <font>
      <sz val="16"/>
      <color theme="1"/>
      <name val="Aptos Narrow"/>
      <family val="2"/>
      <scheme val="minor"/>
    </font>
    <font>
      <sz val="16"/>
      <color theme="1"/>
      <name val="Helvetica Neue"/>
      <family val="2"/>
    </font>
    <font>
      <b/>
      <sz val="11"/>
      <color theme="1"/>
      <name val="Aptos Narrow"/>
      <scheme val="minor"/>
    </font>
    <font>
      <b/>
      <sz val="16"/>
      <color theme="0"/>
      <name val="Aptos Narrow"/>
      <scheme val="minor"/>
    </font>
    <font>
      <sz val="16"/>
      <name val="Aptos Narrow"/>
      <family val="2"/>
      <scheme val="minor"/>
    </font>
    <font>
      <b/>
      <sz val="11"/>
      <color theme="0"/>
      <name val="Aptos Narrow"/>
      <scheme val="minor"/>
    </font>
  </fonts>
  <fills count="8">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7" tint="0.79998168889431442"/>
        <bgColor theme="7" tint="0.79998168889431442"/>
      </patternFill>
    </fill>
    <fill>
      <patternFill patternType="solid">
        <fgColor theme="6" tint="0.79998168889431442"/>
        <bgColor theme="6" tint="0.79998168889431442"/>
      </patternFill>
    </fill>
    <fill>
      <patternFill patternType="solid">
        <fgColor theme="8" tint="0.79998168889431442"/>
        <bgColor theme="8" tint="0.79998168889431442"/>
      </patternFill>
    </fill>
    <fill>
      <patternFill patternType="solid">
        <fgColor rgb="FF064FBA"/>
        <bgColor indexed="64"/>
      </patternFill>
    </fill>
  </fills>
  <borders count="17">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theme="7"/>
      </left>
      <right/>
      <top style="thin">
        <color theme="7"/>
      </top>
      <bottom/>
      <diagonal/>
    </border>
    <border>
      <left style="thin">
        <color theme="7"/>
      </left>
      <right/>
      <top style="medium">
        <color theme="7"/>
      </top>
      <bottom/>
      <diagonal/>
    </border>
    <border>
      <left style="thin">
        <color theme="7"/>
      </left>
      <right/>
      <top style="thin">
        <color theme="7"/>
      </top>
      <bottom style="thin">
        <color theme="7"/>
      </bottom>
      <diagonal/>
    </border>
    <border>
      <left style="thin">
        <color theme="8"/>
      </left>
      <right style="thin">
        <color theme="8"/>
      </right>
      <top style="thin">
        <color theme="8"/>
      </top>
      <bottom style="thin">
        <color theme="8"/>
      </bottom>
      <diagonal/>
    </border>
    <border>
      <left style="thin">
        <color theme="6"/>
      </left>
      <right/>
      <top style="thin">
        <color theme="6"/>
      </top>
      <bottom/>
      <diagonal/>
    </border>
    <border>
      <left style="thin">
        <color theme="6"/>
      </left>
      <right style="thin">
        <color theme="6"/>
      </right>
      <top style="thin">
        <color theme="6"/>
      </top>
      <bottom/>
      <diagonal/>
    </border>
    <border>
      <left style="thin">
        <color theme="6"/>
      </left>
      <right/>
      <top style="medium">
        <color theme="6"/>
      </top>
      <bottom/>
      <diagonal/>
    </border>
    <border>
      <left style="thin">
        <color theme="6"/>
      </left>
      <right style="thin">
        <color theme="6"/>
      </right>
      <top style="medium">
        <color theme="6"/>
      </top>
      <bottom/>
      <diagonal/>
    </border>
    <border>
      <left style="thin">
        <color theme="8"/>
      </left>
      <right style="thin">
        <color theme="8"/>
      </right>
      <top style="thin">
        <color theme="8"/>
      </top>
      <bottom/>
      <diagonal/>
    </border>
    <border>
      <left style="thin">
        <color theme="8"/>
      </left>
      <right style="thin">
        <color theme="8"/>
      </right>
      <top style="medium">
        <color theme="8"/>
      </top>
      <bottom/>
      <diagonal/>
    </border>
    <border>
      <left/>
      <right/>
      <top/>
      <bottom style="thin">
        <color theme="7"/>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5">
    <xf numFmtId="0" fontId="0" fillId="0" borderId="0" xfId="0"/>
    <xf numFmtId="0" fontId="1" fillId="0" borderId="0" xfId="0" applyFont="1" applyAlignment="1">
      <alignment vertical="center"/>
    </xf>
    <xf numFmtId="0" fontId="2" fillId="0" borderId="0" xfId="0" applyFont="1" applyAlignment="1">
      <alignment vertical="center"/>
    </xf>
    <xf numFmtId="0" fontId="0" fillId="0" borderId="0" xfId="0" applyAlignment="1">
      <alignment horizontal="left" vertical="center" indent="1"/>
    </xf>
    <xf numFmtId="0" fontId="0" fillId="0" borderId="1" xfId="0" applyBorder="1"/>
    <xf numFmtId="0" fontId="3" fillId="2" borderId="3" xfId="0" applyFont="1" applyFill="1" applyBorder="1"/>
    <xf numFmtId="0" fontId="0" fillId="3" borderId="3" xfId="0" applyFill="1" applyBorder="1"/>
    <xf numFmtId="0" fontId="0" fillId="3" borderId="4" xfId="0" applyFill="1" applyBorder="1" applyAlignment="1">
      <alignment horizontal="left" indent="1"/>
    </xf>
    <xf numFmtId="0" fontId="0" fillId="0" borderId="2" xfId="0" applyBorder="1" applyAlignment="1">
      <alignment horizontal="left" indent="1"/>
    </xf>
    <xf numFmtId="0" fontId="4" fillId="0" borderId="5" xfId="0" applyFont="1" applyBorder="1"/>
    <xf numFmtId="0" fontId="4" fillId="0" borderId="9" xfId="0" applyFont="1" applyBorder="1" applyAlignment="1">
      <alignment horizontal="center"/>
    </xf>
    <xf numFmtId="0" fontId="4" fillId="0" borderId="10" xfId="0" applyFont="1" applyBorder="1"/>
    <xf numFmtId="0" fontId="5" fillId="7" borderId="0" xfId="0" applyFont="1" applyFill="1" applyAlignment="1">
      <alignment horizontal="center"/>
    </xf>
    <xf numFmtId="0" fontId="6" fillId="7" borderId="0" xfId="0" applyFont="1" applyFill="1" applyAlignment="1">
      <alignment horizontal="center"/>
    </xf>
    <xf numFmtId="0" fontId="0" fillId="4" borderId="6" xfId="0" applyFill="1" applyBorder="1" applyAlignment="1">
      <alignment vertical="top"/>
    </xf>
    <xf numFmtId="0" fontId="0" fillId="4" borderId="6" xfId="0" applyFill="1" applyBorder="1" applyAlignment="1">
      <alignment vertical="top" wrapText="1"/>
    </xf>
    <xf numFmtId="0" fontId="0" fillId="0" borderId="5" xfId="0" applyBorder="1" applyAlignment="1">
      <alignment vertical="top"/>
    </xf>
    <xf numFmtId="0" fontId="0" fillId="0" borderId="5" xfId="0" applyBorder="1" applyAlignment="1">
      <alignment vertical="top" wrapText="1"/>
    </xf>
    <xf numFmtId="0" fontId="0" fillId="4" borderId="5" xfId="0" applyFill="1" applyBorder="1" applyAlignment="1">
      <alignment vertical="top"/>
    </xf>
    <xf numFmtId="0" fontId="0" fillId="4" borderId="5" xfId="0" applyFill="1" applyBorder="1" applyAlignment="1">
      <alignment vertical="top" wrapText="1"/>
    </xf>
    <xf numFmtId="0" fontId="0" fillId="0" borderId="7" xfId="0" applyBorder="1" applyAlignment="1">
      <alignment vertical="top"/>
    </xf>
    <xf numFmtId="0" fontId="0" fillId="0" borderId="7" xfId="0" applyBorder="1" applyAlignment="1">
      <alignment vertical="top" wrapText="1"/>
    </xf>
    <xf numFmtId="0" fontId="0" fillId="0" borderId="0" xfId="0" applyAlignment="1">
      <alignment wrapText="1"/>
    </xf>
    <xf numFmtId="0" fontId="4" fillId="0" borderId="5" xfId="0" applyFont="1" applyBorder="1" applyAlignment="1">
      <alignment wrapText="1"/>
    </xf>
    <xf numFmtId="0" fontId="4" fillId="0" borderId="13" xfId="0" applyFont="1" applyBorder="1" applyAlignment="1">
      <alignment wrapText="1"/>
    </xf>
    <xf numFmtId="0" fontId="0" fillId="5" borderId="11" xfId="0" applyFill="1" applyBorder="1" applyAlignment="1">
      <alignment horizontal="center" wrapText="1"/>
    </xf>
    <xf numFmtId="0" fontId="0" fillId="5" borderId="12" xfId="0" applyFill="1" applyBorder="1" applyAlignment="1">
      <alignment wrapText="1"/>
    </xf>
    <xf numFmtId="0" fontId="0" fillId="0" borderId="9" xfId="0" applyBorder="1" applyAlignment="1">
      <alignment horizontal="center" wrapText="1"/>
    </xf>
    <xf numFmtId="0" fontId="0" fillId="0" borderId="10" xfId="0" applyBorder="1" applyAlignment="1">
      <alignment wrapText="1"/>
    </xf>
    <xf numFmtId="0" fontId="0" fillId="5" borderId="9" xfId="0" applyFill="1" applyBorder="1" applyAlignment="1">
      <alignment horizontal="center" wrapText="1"/>
    </xf>
    <xf numFmtId="0" fontId="0" fillId="5" borderId="10" xfId="0" applyFill="1" applyBorder="1" applyAlignment="1">
      <alignment wrapText="1"/>
    </xf>
    <xf numFmtId="0" fontId="0" fillId="7" borderId="0" xfId="0" applyFill="1" applyAlignment="1">
      <alignment wrapText="1"/>
    </xf>
    <xf numFmtId="0" fontId="8" fillId="0" borderId="0" xfId="0" applyFont="1" applyAlignment="1">
      <alignment wrapText="1"/>
    </xf>
    <xf numFmtId="0" fontId="0" fillId="6" borderId="14" xfId="0" applyFill="1" applyBorder="1" applyAlignment="1">
      <alignment wrapText="1"/>
    </xf>
    <xf numFmtId="0" fontId="0" fillId="0" borderId="13" xfId="0" applyBorder="1" applyAlignment="1">
      <alignment wrapText="1"/>
    </xf>
    <xf numFmtId="0" fontId="0" fillId="6" borderId="13" xfId="0" applyFill="1" applyBorder="1" applyAlignment="1">
      <alignment wrapText="1"/>
    </xf>
    <xf numFmtId="0" fontId="0" fillId="0" borderId="8" xfId="0" applyBorder="1" applyAlignment="1">
      <alignment wrapText="1"/>
    </xf>
    <xf numFmtId="0" fontId="9" fillId="0" borderId="0" xfId="0" applyFont="1"/>
    <xf numFmtId="0" fontId="3" fillId="7" borderId="15" xfId="0" applyFont="1" applyFill="1" applyBorder="1" applyAlignment="1">
      <alignment horizontal="left" wrapText="1"/>
    </xf>
    <xf numFmtId="0" fontId="3" fillId="7" borderId="15" xfId="0" applyFont="1" applyFill="1" applyBorder="1" applyAlignment="1">
      <alignment horizontal="left"/>
    </xf>
    <xf numFmtId="0" fontId="0" fillId="0" borderId="0" xfId="0" applyAlignment="1">
      <alignment horizontal="left" wrapText="1"/>
    </xf>
    <xf numFmtId="0" fontId="10" fillId="7" borderId="0" xfId="0" applyFont="1" applyFill="1" applyAlignment="1">
      <alignment horizontal="center"/>
    </xf>
    <xf numFmtId="0" fontId="11" fillId="7" borderId="0" xfId="0" applyFont="1" applyFill="1" applyAlignment="1">
      <alignment horizontal="center"/>
    </xf>
    <xf numFmtId="0" fontId="12" fillId="0" borderId="0" xfId="0" applyFont="1"/>
    <xf numFmtId="0" fontId="11" fillId="2" borderId="3" xfId="0" applyFont="1" applyFill="1" applyBorder="1"/>
    <xf numFmtId="0" fontId="13" fillId="0" borderId="0" xfId="0" applyFont="1"/>
    <xf numFmtId="0" fontId="12" fillId="3" borderId="3" xfId="0" applyFont="1" applyFill="1" applyBorder="1"/>
    <xf numFmtId="0" fontId="12" fillId="3" borderId="4" xfId="0" applyFont="1" applyFill="1" applyBorder="1" applyAlignment="1">
      <alignment horizontal="left" indent="1"/>
    </xf>
    <xf numFmtId="0" fontId="12" fillId="0" borderId="1" xfId="0" applyFont="1" applyBorder="1"/>
    <xf numFmtId="0" fontId="12" fillId="0" borderId="2" xfId="0" applyFont="1" applyBorder="1" applyAlignment="1">
      <alignment horizontal="left" indent="1"/>
    </xf>
    <xf numFmtId="0" fontId="7" fillId="0" borderId="0" xfId="0" applyFont="1" applyAlignment="1">
      <alignment wrapText="1"/>
    </xf>
    <xf numFmtId="0" fontId="14" fillId="0" borderId="0" xfId="0" applyFont="1"/>
    <xf numFmtId="0" fontId="14" fillId="0" borderId="0" xfId="0" applyFont="1" applyAlignment="1">
      <alignment horizontal="center" vertical="center"/>
    </xf>
    <xf numFmtId="0" fontId="0" fillId="0" borderId="0" xfId="0" applyAlignment="1">
      <alignment horizontal="center" vertical="center"/>
    </xf>
    <xf numFmtId="0" fontId="15" fillId="7" borderId="0" xfId="0" applyFont="1" applyFill="1" applyAlignment="1">
      <alignment horizontal="center"/>
    </xf>
    <xf numFmtId="0" fontId="0" fillId="0" borderId="0" xfId="0" applyAlignment="1">
      <alignment horizontal="center" wrapText="1"/>
    </xf>
    <xf numFmtId="0" fontId="14" fillId="0" borderId="16" xfId="0" applyFont="1" applyBorder="1" applyAlignment="1">
      <alignment horizontal="center" vertical="center"/>
    </xf>
    <xf numFmtId="0" fontId="0" fillId="0" borderId="16" xfId="0" applyBorder="1" applyAlignment="1">
      <alignment horizontal="center" vertical="center"/>
    </xf>
    <xf numFmtId="0" fontId="17" fillId="7" borderId="16" xfId="0" applyFont="1" applyFill="1" applyBorder="1" applyAlignment="1">
      <alignment horizontal="center" vertical="center"/>
    </xf>
    <xf numFmtId="0" fontId="0" fillId="0" borderId="16" xfId="0"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horizontal="center" vertical="center" wrapText="1"/>
    </xf>
    <xf numFmtId="0" fontId="12" fillId="7" borderId="0" xfId="0" applyFont="1" applyFill="1"/>
    <xf numFmtId="0" fontId="14" fillId="0" borderId="16" xfId="0" applyFont="1" applyBorder="1" applyAlignment="1">
      <alignment horizontal="center" vertical="center" wrapText="1"/>
    </xf>
    <xf numFmtId="0" fontId="14" fillId="0" borderId="16" xfId="0" applyFont="1" applyBorder="1" applyAlignment="1">
      <alignment horizontal="center" wrapText="1"/>
    </xf>
    <xf numFmtId="10" fontId="0" fillId="0" borderId="16" xfId="0" applyNumberFormat="1" applyBorder="1" applyAlignment="1">
      <alignment horizontal="center" vertical="center"/>
    </xf>
    <xf numFmtId="0" fontId="17" fillId="7" borderId="16" xfId="0" applyFont="1" applyFill="1" applyBorder="1" applyAlignment="1">
      <alignment horizontal="center" vertical="center" wrapText="1"/>
    </xf>
    <xf numFmtId="0" fontId="0" fillId="0" borderId="16" xfId="0" applyBorder="1" applyAlignment="1">
      <alignment horizontal="center" wrapText="1"/>
    </xf>
    <xf numFmtId="0" fontId="12" fillId="7" borderId="0" xfId="0" applyFont="1" applyFill="1" applyAlignment="1">
      <alignment horizontal="center" wrapText="1"/>
    </xf>
    <xf numFmtId="0" fontId="12" fillId="0" borderId="0" xfId="0" applyFont="1" applyAlignment="1">
      <alignment horizontal="center" wrapText="1"/>
    </xf>
    <xf numFmtId="0" fontId="16" fillId="0" borderId="0" xfId="0" applyFont="1" applyFill="1" applyAlignment="1">
      <alignment horizontal="center" wrapText="1"/>
    </xf>
    <xf numFmtId="0" fontId="14" fillId="0" borderId="0" xfId="0" applyFont="1" applyAlignment="1">
      <alignment horizontal="center" wrapText="1"/>
    </xf>
    <xf numFmtId="0" fontId="17" fillId="7" borderId="16" xfId="0" applyFont="1" applyFill="1" applyBorder="1" applyAlignment="1">
      <alignment horizontal="center" wrapText="1"/>
    </xf>
    <xf numFmtId="0" fontId="0" fillId="0" borderId="0" xfId="0" applyBorder="1" applyAlignment="1">
      <alignment horizontal="center" wrapText="1"/>
    </xf>
    <xf numFmtId="0" fontId="16" fillId="7" borderId="0" xfId="0" applyFont="1" applyFill="1" applyAlignment="1">
      <alignment horizontal="center" wrapText="1"/>
    </xf>
  </cellXfs>
  <cellStyles count="1">
    <cellStyle name="Normal" xfId="0" builtinId="0"/>
  </cellStyles>
  <dxfs count="0"/>
  <tableStyles count="0" defaultTableStyle="TableStyleMedium2" defaultPivotStyle="PivotStyleLight16"/>
  <colors>
    <mruColors>
      <color rgb="FF064FB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304048</xdr:colOff>
      <xdr:row>29</xdr:row>
      <xdr:rowOff>123825</xdr:rowOff>
    </xdr:to>
    <xdr:pic>
      <xdr:nvPicPr>
        <xdr:cNvPr id="2" name="Picture 1">
          <a:extLst>
            <a:ext uri="{FF2B5EF4-FFF2-40B4-BE49-F238E27FC236}">
              <a16:creationId xmlns:a16="http://schemas.microsoft.com/office/drawing/2014/main" id="{87D39FE5-DC3F-0D9B-951D-B2CE144406D5}"/>
            </a:ext>
          </a:extLst>
        </xdr:cNvPr>
        <xdr:cNvPicPr>
          <a:picLocks noChangeAspect="1"/>
        </xdr:cNvPicPr>
      </xdr:nvPicPr>
      <xdr:blipFill rotWithShape="1">
        <a:blip xmlns:r="http://schemas.openxmlformats.org/officeDocument/2006/relationships" r:embed="rId1"/>
        <a:srcRect l="4814"/>
        <a:stretch/>
      </xdr:blipFill>
      <xdr:spPr>
        <a:xfrm>
          <a:off x="0" y="0"/>
          <a:ext cx="4837948" cy="5486400"/>
        </a:xfrm>
        <a:prstGeom prst="rect">
          <a:avLst/>
        </a:prstGeom>
      </xdr:spPr>
    </xdr:pic>
    <xdr:clientData/>
  </xdr:twoCellAnchor>
  <xdr:twoCellAnchor editAs="oneCell">
    <xdr:from>
      <xdr:col>7</xdr:col>
      <xdr:colOff>276225</xdr:colOff>
      <xdr:row>0</xdr:row>
      <xdr:rowOff>0</xdr:rowOff>
    </xdr:from>
    <xdr:to>
      <xdr:col>14</xdr:col>
      <xdr:colOff>447675</xdr:colOff>
      <xdr:row>29</xdr:row>
      <xdr:rowOff>123825</xdr:rowOff>
    </xdr:to>
    <xdr:pic>
      <xdr:nvPicPr>
        <xdr:cNvPr id="6" name="Picture 5">
          <a:extLst>
            <a:ext uri="{FF2B5EF4-FFF2-40B4-BE49-F238E27FC236}">
              <a16:creationId xmlns:a16="http://schemas.microsoft.com/office/drawing/2014/main" id="{083BE5FC-D24A-FD95-B360-EA4EDCB00324}"/>
            </a:ext>
          </a:extLst>
        </xdr:cNvPr>
        <xdr:cNvPicPr>
          <a:picLocks noChangeAspect="1"/>
        </xdr:cNvPicPr>
      </xdr:nvPicPr>
      <xdr:blipFill rotWithShape="1">
        <a:blip xmlns:r="http://schemas.openxmlformats.org/officeDocument/2006/relationships" r:embed="rId2"/>
        <a:srcRect l="5166" r="3695"/>
        <a:stretch/>
      </xdr:blipFill>
      <xdr:spPr>
        <a:xfrm>
          <a:off x="4810125" y="0"/>
          <a:ext cx="4705350" cy="5486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26F1-5433-4B30-AE76-9ED278F0DE67}">
  <sheetPr codeName="Sheet2"/>
  <dimension ref="A1:A29"/>
  <sheetViews>
    <sheetView showGridLines="0" topLeftCell="A5" zoomScale="81" zoomScaleNormal="100" workbookViewId="0">
      <selection activeCell="Q15" sqref="Q15"/>
    </sheetView>
  </sheetViews>
  <sheetFormatPr baseColWidth="10" defaultColWidth="8.83203125" defaultRowHeight="15" x14ac:dyDescent="0.2"/>
  <sheetData>
    <row r="1" spans="1:1" ht="24" x14ac:dyDescent="0.2">
      <c r="A1" s="1"/>
    </row>
    <row r="5" spans="1:1" ht="16" x14ac:dyDescent="0.2">
      <c r="A5" s="2"/>
    </row>
    <row r="8" spans="1:1" x14ac:dyDescent="0.2">
      <c r="A8" s="3"/>
    </row>
    <row r="9" spans="1:1" x14ac:dyDescent="0.2">
      <c r="A9" s="3"/>
    </row>
    <row r="10" spans="1:1" x14ac:dyDescent="0.2">
      <c r="A10" s="3"/>
    </row>
    <row r="11" spans="1:1" x14ac:dyDescent="0.2">
      <c r="A11" s="3"/>
    </row>
    <row r="12" spans="1:1" x14ac:dyDescent="0.2">
      <c r="A12" s="3"/>
    </row>
    <row r="13" spans="1:1" x14ac:dyDescent="0.2">
      <c r="A13" s="3"/>
    </row>
    <row r="16" spans="1:1" x14ac:dyDescent="0.2">
      <c r="A16" s="3"/>
    </row>
    <row r="17" spans="1:1" x14ac:dyDescent="0.2">
      <c r="A17" s="3"/>
    </row>
    <row r="18" spans="1:1" x14ac:dyDescent="0.2">
      <c r="A18" s="3"/>
    </row>
    <row r="19" spans="1:1" x14ac:dyDescent="0.2">
      <c r="A19" s="3"/>
    </row>
    <row r="20" spans="1:1" x14ac:dyDescent="0.2">
      <c r="A20" s="3"/>
    </row>
    <row r="21" spans="1:1" x14ac:dyDescent="0.2">
      <c r="A21" s="3"/>
    </row>
    <row r="24" spans="1:1" x14ac:dyDescent="0.2">
      <c r="A24" s="3"/>
    </row>
    <row r="25" spans="1:1" x14ac:dyDescent="0.2">
      <c r="A25" s="3"/>
    </row>
    <row r="26" spans="1:1" x14ac:dyDescent="0.2">
      <c r="A26" s="3"/>
    </row>
    <row r="27" spans="1:1" x14ac:dyDescent="0.2">
      <c r="A27" s="3"/>
    </row>
    <row r="28" spans="1:1" x14ac:dyDescent="0.2">
      <c r="A28" s="3"/>
    </row>
    <row r="29" spans="1:1" x14ac:dyDescent="0.2">
      <c r="A29" s="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B1AE5-81AA-4ECE-8194-1D061AB5EF6F}">
  <sheetPr codeName="Sheet5"/>
  <dimension ref="A1:E39"/>
  <sheetViews>
    <sheetView zoomScale="137" zoomScaleNormal="200" workbookViewId="0">
      <selection activeCell="E9" sqref="E9"/>
    </sheetView>
  </sheetViews>
  <sheetFormatPr baseColWidth="10" defaultColWidth="8.83203125" defaultRowHeight="15" x14ac:dyDescent="0.2"/>
  <cols>
    <col min="1" max="1" width="17.5" customWidth="1"/>
    <col min="2" max="2" width="60.5" customWidth="1"/>
    <col min="3" max="3" width="92.5" style="22" customWidth="1"/>
  </cols>
  <sheetData>
    <row r="1" spans="1:5" ht="27" x14ac:dyDescent="0.35">
      <c r="A1" s="12"/>
      <c r="B1" s="13" t="s">
        <v>0</v>
      </c>
      <c r="C1" s="31"/>
    </row>
    <row r="3" spans="1:5" x14ac:dyDescent="0.2">
      <c r="A3" s="5" t="s">
        <v>1</v>
      </c>
      <c r="B3" s="37" t="s">
        <v>37</v>
      </c>
    </row>
    <row r="4" spans="1:5" x14ac:dyDescent="0.2">
      <c r="A4" s="6" t="s">
        <v>2</v>
      </c>
      <c r="B4" s="7" t="s">
        <v>3</v>
      </c>
    </row>
    <row r="5" spans="1:5" x14ac:dyDescent="0.2">
      <c r="A5" s="4" t="s">
        <v>4</v>
      </c>
      <c r="B5" s="8">
        <v>0.5</v>
      </c>
    </row>
    <row r="7" spans="1:5" x14ac:dyDescent="0.2">
      <c r="A7" s="38" t="s">
        <v>5</v>
      </c>
      <c r="B7" s="39"/>
      <c r="C7" s="39"/>
    </row>
    <row r="8" spans="1:5" ht="17" thickBot="1" x14ac:dyDescent="0.25">
      <c r="A8" s="9" t="s">
        <v>6</v>
      </c>
      <c r="B8" s="9" t="s">
        <v>7</v>
      </c>
      <c r="C8" s="23" t="s">
        <v>8</v>
      </c>
    </row>
    <row r="9" spans="1:5" ht="52.5" customHeight="1" x14ac:dyDescent="0.2">
      <c r="A9" s="14" t="s">
        <v>9</v>
      </c>
      <c r="B9" s="15" t="s">
        <v>10</v>
      </c>
      <c r="C9" s="32" t="str" cm="1">
        <f t="array" ref="C9">AI_Reply(B3,B9)</f>
        <v>$1,234,567.9; $50,000.0; $123.4</v>
      </c>
      <c r="E9" s="50"/>
    </row>
    <row r="10" spans="1:5" ht="58" customHeight="1" x14ac:dyDescent="0.2">
      <c r="A10" s="16" t="s">
        <v>11</v>
      </c>
      <c r="B10" s="17" t="s">
        <v>12</v>
      </c>
      <c r="C10" s="32" t="str" cm="1">
        <f t="array" ref="C10">AI_Reply(B3,B10)</f>
        <v>The sales trend shows a general upward trajectory with slight fluctuations, indicating overall growth.</v>
      </c>
    </row>
    <row r="11" spans="1:5" ht="321" customHeight="1" x14ac:dyDescent="0.2">
      <c r="A11" s="18" t="s">
        <v>13</v>
      </c>
      <c r="B11" s="19" t="s">
        <v>14</v>
      </c>
      <c r="C11" s="32" t="str" cm="1">
        <f t="array" ref="C11">AI_Reply(B3,B11)</f>
        <v>Subject: Exclusive 10% Discount for Our Valued Premium Customers
Dear [Customer's Name],
We are excited to offer you an exclusive 10% discount as a token of our appreciation for being a valued premium customer. This offer is valid on your next purchase until [Expiration Date].
To redeem, simply use the code PREMIUM10 at checkout.
Thank you for your continued support.
Best regards,
[Your Name]  
[Your Position]  
[Company Name]  
[Contact Information]</v>
      </c>
    </row>
    <row r="12" spans="1:5" ht="160" customHeight="1" x14ac:dyDescent="0.2">
      <c r="A12" s="16" t="s">
        <v>15</v>
      </c>
      <c r="B12" s="17" t="s">
        <v>16</v>
      </c>
      <c r="C12" s="32" t="str" cm="1">
        <f t="array" ref="C12">AI_Reply(B3,B12)</f>
        <v>To optimize, consider the following:
1. **Automation**: Identify repetitive tasks that can be automated using tools or software.
2. **Streamlining**: Eliminate any unnecessary steps in the process.
3. **Parallel Processing**: Assign tasks that can be done simultaneously to reduce total time.
4. **Skill Utilization**: Ensure each person is working within their skillset for maximum efficiency.
5. **Training**: Provide training to improve task speed and accuracy.
Analyze the process to identify specific bottlenecks or inefficiencies for targeted improvements.</v>
      </c>
    </row>
    <row r="13" spans="1:5" ht="31" customHeight="1" x14ac:dyDescent="0.2">
      <c r="A13" s="18" t="s">
        <v>17</v>
      </c>
      <c r="B13" s="19" t="s">
        <v>18</v>
      </c>
      <c r="C13" s="32" t="str" cm="1">
        <f t="array" ref="C13">AI_Reply(B3,B13)</f>
        <v>Standardized product codes: ABC123, ABC123, ABC123, ABC123.</v>
      </c>
    </row>
    <row r="14" spans="1:5" ht="16" x14ac:dyDescent="0.2">
      <c r="A14" s="20" t="s">
        <v>19</v>
      </c>
      <c r="B14" s="21" t="s">
        <v>20</v>
      </c>
      <c r="C14" s="21" t="str" cm="1">
        <f t="array" ref="C14">AI_Reply(B3,B14)</f>
        <v>Merci pour votre confiance 🤝✨</v>
      </c>
    </row>
    <row r="15" spans="1:5" ht="64" x14ac:dyDescent="0.2">
      <c r="A15" s="18" t="s">
        <v>25</v>
      </c>
      <c r="B15" s="22" t="s">
        <v>26</v>
      </c>
      <c r="C15" s="19" t="str" cm="1">
        <f t="array" ref="C15">AI_Reply(B3,B15)</f>
        <v>The new analytics dashboard launched last quarter led to a 35% increase in user engagement. Customers report improved usability and faster reporting.</v>
      </c>
    </row>
    <row r="16" spans="1:5" ht="64" x14ac:dyDescent="0.2">
      <c r="A16" s="20" t="s">
        <v>27</v>
      </c>
      <c r="B16" s="22" t="s">
        <v>28</v>
      </c>
      <c r="C16" s="21" t="str" cm="1">
        <f t="array" ref="C16">AI_Reply(B3,B16)</f>
        <v>Neutral</v>
      </c>
    </row>
    <row r="17" spans="1:3" ht="39" customHeight="1" x14ac:dyDescent="0.2">
      <c r="A17" s="18" t="s">
        <v>29</v>
      </c>
      <c r="B17" s="19" t="s">
        <v>30</v>
      </c>
      <c r="C17" s="19" t="str" cm="1">
        <f t="array" ref="C17">AI_Reply(B3,B17)</f>
        <v>2026-01-15, 2025-07-04, 2024-03-03</v>
      </c>
    </row>
    <row r="19" spans="1:3" x14ac:dyDescent="0.2">
      <c r="A19" s="38" t="s">
        <v>21</v>
      </c>
      <c r="B19" s="39"/>
      <c r="C19" s="39"/>
    </row>
    <row r="20" spans="1:3" ht="17" thickBot="1" x14ac:dyDescent="0.25">
      <c r="A20" s="10" t="s">
        <v>22</v>
      </c>
      <c r="B20" s="11" t="s">
        <v>23</v>
      </c>
      <c r="C20" s="24" t="s">
        <v>24</v>
      </c>
    </row>
    <row r="21" spans="1:3" ht="32" x14ac:dyDescent="0.2">
      <c r="A21" s="25">
        <v>1</v>
      </c>
      <c r="B21" s="26" t="s">
        <v>31</v>
      </c>
      <c r="C21" s="33" t="s">
        <v>32</v>
      </c>
    </row>
    <row r="22" spans="1:3" ht="32" x14ac:dyDescent="0.2">
      <c r="A22" s="27">
        <v>2</v>
      </c>
      <c r="B22" s="28" t="s">
        <v>33</v>
      </c>
      <c r="C22" s="34" t="s">
        <v>34</v>
      </c>
    </row>
    <row r="23" spans="1:3" ht="32" x14ac:dyDescent="0.2">
      <c r="A23" s="29">
        <v>3</v>
      </c>
      <c r="B23" s="30" t="s">
        <v>35</v>
      </c>
      <c r="C23" s="35" t="s">
        <v>36</v>
      </c>
    </row>
    <row r="24" spans="1:3" x14ac:dyDescent="0.2">
      <c r="C24" s="36"/>
    </row>
    <row r="27" spans="1:3" x14ac:dyDescent="0.2">
      <c r="B27" s="40"/>
      <c r="C27" s="40"/>
    </row>
    <row r="28" spans="1:3" x14ac:dyDescent="0.2">
      <c r="B28" s="40"/>
      <c r="C28" s="40"/>
    </row>
    <row r="29" spans="1:3" x14ac:dyDescent="0.2">
      <c r="B29" s="40"/>
      <c r="C29" s="40"/>
    </row>
    <row r="30" spans="1:3" x14ac:dyDescent="0.2">
      <c r="B30" s="40"/>
      <c r="C30" s="40"/>
    </row>
    <row r="31" spans="1:3" x14ac:dyDescent="0.2">
      <c r="B31" s="40"/>
      <c r="C31" s="40"/>
    </row>
    <row r="32" spans="1:3" x14ac:dyDescent="0.2">
      <c r="B32" s="40"/>
      <c r="C32" s="40"/>
    </row>
    <row r="33" spans="2:3" x14ac:dyDescent="0.2">
      <c r="B33" s="40"/>
      <c r="C33" s="40"/>
    </row>
    <row r="34" spans="2:3" x14ac:dyDescent="0.2">
      <c r="B34" s="40"/>
      <c r="C34" s="40"/>
    </row>
    <row r="35" spans="2:3" x14ac:dyDescent="0.2">
      <c r="B35" s="40"/>
      <c r="C35" s="40"/>
    </row>
    <row r="36" spans="2:3" x14ac:dyDescent="0.2">
      <c r="B36" s="40"/>
      <c r="C36" s="40"/>
    </row>
    <row r="37" spans="2:3" x14ac:dyDescent="0.2">
      <c r="B37" s="40"/>
      <c r="C37" s="40"/>
    </row>
    <row r="38" spans="2:3" x14ac:dyDescent="0.2">
      <c r="B38" s="40"/>
      <c r="C38" s="40"/>
    </row>
    <row r="39" spans="2:3" x14ac:dyDescent="0.2">
      <c r="B39" s="40"/>
      <c r="C39" s="40"/>
    </row>
  </sheetData>
  <mergeCells count="3">
    <mergeCell ref="A19:C19"/>
    <mergeCell ref="A7:C7"/>
    <mergeCell ref="B27:C3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9C8C2-75CE-1A48-87EA-15F8BD577006}">
  <sheetPr codeName="Sheet1"/>
  <dimension ref="A1:F58"/>
  <sheetViews>
    <sheetView tabSelected="1" topLeftCell="A20" zoomScale="75" workbookViewId="0">
      <selection activeCell="C26" sqref="C26"/>
    </sheetView>
  </sheetViews>
  <sheetFormatPr baseColWidth="10" defaultRowHeight="15" x14ac:dyDescent="0.2"/>
  <cols>
    <col min="1" max="1" width="31" customWidth="1"/>
    <col min="2" max="2" width="55.83203125" customWidth="1"/>
    <col min="3" max="3" width="121.5" style="55" customWidth="1"/>
    <col min="4" max="5" width="19.5" customWidth="1"/>
    <col min="6" max="6" width="15.1640625" customWidth="1"/>
  </cols>
  <sheetData>
    <row r="1" spans="1:3" s="43" customFormat="1" ht="22" x14ac:dyDescent="0.3">
      <c r="A1" s="41"/>
      <c r="B1" s="42" t="s">
        <v>38</v>
      </c>
      <c r="C1" s="68"/>
    </row>
    <row r="2" spans="1:3" s="43" customFormat="1" ht="22" x14ac:dyDescent="0.3">
      <c r="C2" s="69"/>
    </row>
    <row r="3" spans="1:3" s="43" customFormat="1" ht="22" x14ac:dyDescent="0.3">
      <c r="A3" s="44" t="s">
        <v>1</v>
      </c>
      <c r="B3" s="45" t="s">
        <v>37</v>
      </c>
      <c r="C3" s="69"/>
    </row>
    <row r="4" spans="1:3" s="43" customFormat="1" ht="22" x14ac:dyDescent="0.3">
      <c r="A4" s="46" t="s">
        <v>2</v>
      </c>
      <c r="B4" s="47" t="s">
        <v>3</v>
      </c>
      <c r="C4" s="69"/>
    </row>
    <row r="5" spans="1:3" s="43" customFormat="1" ht="22" x14ac:dyDescent="0.3">
      <c r="A5" s="48" t="s">
        <v>4</v>
      </c>
      <c r="B5" s="49">
        <v>0.5</v>
      </c>
      <c r="C5" s="69"/>
    </row>
    <row r="8" spans="1:3" s="43" customFormat="1" ht="22" x14ac:dyDescent="0.3">
      <c r="A8" s="54" t="s">
        <v>53</v>
      </c>
      <c r="B8" s="42" t="s">
        <v>54</v>
      </c>
      <c r="C8" s="70"/>
    </row>
    <row r="9" spans="1:3" s="51" customFormat="1" x14ac:dyDescent="0.2">
      <c r="A9" s="56" t="s">
        <v>39</v>
      </c>
      <c r="B9" s="56" t="s">
        <v>40</v>
      </c>
      <c r="C9" s="71"/>
    </row>
    <row r="10" spans="1:3" x14ac:dyDescent="0.2">
      <c r="A10" s="57" t="s">
        <v>41</v>
      </c>
      <c r="B10" s="57">
        <v>420</v>
      </c>
    </row>
    <row r="11" spans="1:3" x14ac:dyDescent="0.2">
      <c r="A11" s="57" t="s">
        <v>42</v>
      </c>
      <c r="B11" s="57">
        <v>430</v>
      </c>
    </row>
    <row r="12" spans="1:3" x14ac:dyDescent="0.2">
      <c r="A12" s="57" t="s">
        <v>43</v>
      </c>
      <c r="B12" s="57">
        <v>450</v>
      </c>
    </row>
    <row r="13" spans="1:3" x14ac:dyDescent="0.2">
      <c r="A13" s="57" t="s">
        <v>44</v>
      </c>
      <c r="B13" s="57">
        <v>470</v>
      </c>
    </row>
    <row r="14" spans="1:3" x14ac:dyDescent="0.2">
      <c r="A14" s="57" t="s">
        <v>45</v>
      </c>
      <c r="B14" s="57">
        <v>490</v>
      </c>
    </row>
    <row r="15" spans="1:3" x14ac:dyDescent="0.2">
      <c r="A15" s="57" t="s">
        <v>46</v>
      </c>
      <c r="B15" s="57">
        <v>520</v>
      </c>
    </row>
    <row r="16" spans="1:3" x14ac:dyDescent="0.2">
      <c r="A16" s="57" t="s">
        <v>47</v>
      </c>
      <c r="B16" s="57">
        <v>510</v>
      </c>
    </row>
    <row r="17" spans="1:4" x14ac:dyDescent="0.2">
      <c r="A17" s="57" t="s">
        <v>48</v>
      </c>
      <c r="B17" s="57">
        <v>540</v>
      </c>
    </row>
    <row r="18" spans="1:4" x14ac:dyDescent="0.2">
      <c r="A18" s="57" t="s">
        <v>49</v>
      </c>
      <c r="B18" s="57">
        <v>560</v>
      </c>
    </row>
    <row r="19" spans="1:4" x14ac:dyDescent="0.2">
      <c r="A19" s="57" t="s">
        <v>50</v>
      </c>
      <c r="B19" s="57">
        <v>590</v>
      </c>
    </row>
    <row r="20" spans="1:4" x14ac:dyDescent="0.2">
      <c r="A20" s="57" t="s">
        <v>51</v>
      </c>
      <c r="B20" s="57">
        <v>620</v>
      </c>
    </row>
    <row r="21" spans="1:4" x14ac:dyDescent="0.2">
      <c r="A21" s="57" t="s">
        <v>52</v>
      </c>
      <c r="B21" s="57">
        <v>700</v>
      </c>
    </row>
    <row r="24" spans="1:4" ht="16" x14ac:dyDescent="0.2">
      <c r="A24" s="58" t="s">
        <v>59</v>
      </c>
      <c r="B24" s="58" t="s">
        <v>58</v>
      </c>
      <c r="C24" s="72" t="s">
        <v>60</v>
      </c>
    </row>
    <row r="25" spans="1:4" ht="240" customHeight="1" x14ac:dyDescent="0.2">
      <c r="A25" s="57" t="s">
        <v>61</v>
      </c>
      <c r="B25" s="59" t="s">
        <v>55</v>
      </c>
      <c r="C25" s="67" t="str" cm="1">
        <f t="array" ref="C25">AI_Analyse($B$3, A10:B21, B25)</f>
        <v>To analyze the revenue trend from the provided data, we can examine the monthly revenue figures and identify patterns or trends over the year.
_x000D_
_x000D_1. **Monthly Revenue Growth:**
_x000D_   - Jan: 420
_x000D_   - Feb: 430 (Increase of 10 from Jan)
_x000D_   - Mar: 450 (Increase of 20 from Feb)
_x000D_   - Apr: 470 (Increase of 20 from Mar)
_x000D_   - May: 490 (Increase of 20 from Apr)
_x000D_   - Jun: 520 (Increase of 30 from May)
_x000D_   - Jul: 510 (Decrease of 10 from Jun)
_x000D_   - Aug: 540 (Increase of 30 from Jul)
_x000D_   - Sep: 560 (Increase of 20 from Aug)
_x000D_   - Oct: 590 (Increase of 30 from Sep)
_x000D_   - Nov: 620 (Increase of 30 from Oct)
_x000D_   - Dec: 700 (Increase of 80 from Nov)
_x000D_
_x000D_2. **Overall Trend:**
_x000D_   - The revenue shows a general upward trend throughout the year, with a few fluctuations.
_x000D_   - The largest increase occurs from November to December, with an increase of 80.
_x000D_   - There is a small dip in July, where revenue decreases by 10 from June.
_x000D_
_x000D_3. **Quarterly Analysis:**
_x000D_   - Q1 (Jan-Mar): The revenue increases steadily by 30 over the three months.
_x000D_   - Q2 (Apr-Jun): The revenue continues to rise, with an increase of 50 over the quarter.
_x000D_   - Q3 (Jul-Sep): After a slight dip in July, the revenue recovers and increases by 50 over the quarter.
_x000D_   - Q4 (Oct-Dec): This quarter sees the most significant growth, with an increase of 110.
_x000D_
_x000D_4. **Seasonal Patterns:**
_x000D_   - The data suggests a strong end-of-year performance, particularly in December, which might indicate seasonal factors influencing revenue positively during this time.
_x000D_
_x000D_5. **Average Monthly Increase:**
_x000D_   - Total increase from Jan to Dec is 280.
_x000D_   - Average monthly increase is approximately 23.33.
_x000D_
_x000D_In conclusion, the revenue trend for the year is predominantly positive, with a significant increase towards the end of the year. The data suggests consistent growth with a notable spike in December, potentially due to seasonal demand or other factors.</v>
      </c>
    </row>
    <row r="26" spans="1:4" ht="409" customHeight="1" x14ac:dyDescent="0.2">
      <c r="A26" s="57" t="s">
        <v>62</v>
      </c>
      <c r="B26" s="59" t="s">
        <v>56</v>
      </c>
      <c r="C26" s="67" t="str" cm="1">
        <f t="array" ref="C26">AI_Analyse($B$3, A10:B21, B26)</f>
        <v>To analyze the revenue data provided, we can follow these steps:
_x000D_
_x000D_1. **Identify the Revenue Growth Pattern:**
_x000D_   - The data shows a consistent increase in revenue from January to December. This indicates a positive growth trend throughout the year.
_x000D_
_x000D_2. **Calculate the Monthly Growth Rate:**
_x000D_   - The monthly growth rate can be calculated using the formula:
_x000D_     \[
_x000D_     \text{Growth Rate} = \left(\frac{\text{Current Month Revenue} - \text{Previous Month Revenue}}{\text{Previous Month Revenue}}\right) \times 100
_x000D_     \]
_x000D_   - Applying this formula to each month:
_x000D_     - Feb: \((\frac{430 - 420}{420}) \times 100 = 2.38\%\)
_x000D_     - Mar: \((\frac{450 - 430}{430}) \times 100 = 4.65\%\)
_x000D_     - Apr: \((\frac{470 - 450}{450}) \times 100 = 4.44\%\)
_x000D_     - May: \((\frac{490 - 470}{470}) \times 100 = 4.26\%\)
_x000D_     - Jun: \((\frac{520 - 490}{490}) \times 100 = 6.12\%\)
_x000D_     - Jul: \((\frac{510 - 520}{520}) \times 100 = -1.92\%\)
_x000D_     - Aug: \((\frac{540 - 510}{510}) \times 100 = 5.88\%\)
_x000D_     - Sep: \((\frac{560 - 540}{540}) \times 100 = 3.70\%\)
_x000D_     - Oct: \((\frac{590 - 560}{560}) \times 100 = 5.36\%\)
_x000D_     - Nov: \((\frac{620 - 590}{590}) \times 100 = 5.08\%\)
_x000D_     - Dec: \((\frac{700 - 620}{620}) \times 100 = 12.90\%\)
_x000D_
_x000D_3. **Highlight Seasonal Trends or Anomalies:**
_x000D_   - **Seasonal Trends:**
_x000D_     - The revenue tends to increase steadily from the beginning of the year, with notable growth during the warmer months (Jun, Aug) and a significant spike in December. This could indicate higher sales during the holiday season.
_x000D_   
_x000D_   - **Anomalies:**
_x000D_     - July shows a decrease in revenue compared to June, which is an anomaly in the otherwise increasing trend. This might be due to seasonal factors like summer vacations or other market dynamics.
_x000D_     - December shows a substantial increase in revenue, which is typical for many businesses due to holiday shopping, but it stands out as a significant jump compared to other months.
_x000D_
_x000D_In summary, the data reflects a general upward trend in revenue across the year, with a few notable deviations in July and December. The significant increase in December suggests a seasonal effect likely tied to holiday spending.</v>
      </c>
    </row>
    <row r="27" spans="1:4" ht="409" customHeight="1" x14ac:dyDescent="0.2">
      <c r="A27" s="57" t="s">
        <v>63</v>
      </c>
      <c r="B27" s="59" t="s">
        <v>57</v>
      </c>
      <c r="C27" s="67" t="str" cm="1">
        <f t="array" ref="C27">AI_Analyse($B$3, A10:B21, B27)</f>
        <v>To perform a comprehensive trend analysis on the provided data, let's break down each required component:
_x000D_
_x000D_### 1) Month-over-Month Growth Rates and Acceleration/Deceleration Points
_x000D_
_x000D_First, we calculate the month-over-month growth rates:
_x000D_
_x000D_- **Feb Growth**: \((430 - 420) / 420 \times 100 = 2.38\%\)
_x000D_- **Mar Growth**: \((450 - 430) / 430 \times 100 = 4.65\%\)
_x000D_- **Apr Growth**: \((470 - 450) / 450 \times 100 = 4.44\%\)
_x000D_- **May Growth**: \((490 - 470) / 470 \times 100 = 4.26\%\)
_x000D_- **Jun Growth**: \((520 - 490) / 490 \times 100 = 6.12\%\)
_x000D_- **Jul Growth**: \((510 - 520) / 520 \times 100 = -1.92\%\)
_x000D_- **Aug Growth**: \((540 - 510) / 510 \times 100 = 5.88\%\)
_x000D_- **Sep Growth**: \((560 - 540) / 540 \times 100 = 3.70\%\)
_x000D_- **Oct Growth**: \((590 - 560) / 560 \times 100 = 5.36\%\)
_x000D_- **Nov Growth**: \((620 - 590) / 590 \times 100 = 5.08\%\)
_x000D_- **Dec Growth**: \((700 - 620) / 620 \times 100 = 12.90\%\)
_x000D_
_x000D_**Acceleration/Deceleration Points:**
_x000D_- **Acceleration**: From May to June (from 4.26% to 6.12%), and from Nov to Dec (from 5.08% to 12.90%).
_x000D_- **Deceleration**: From Jun to Jul (from 6.12% to -1.92%).
_x000D_
_x000D_### 2) Forecast Next Quarter's Revenue
_x000D_
_x000D_To forecast the next quarter (Jan, Feb, Mar of the following year), we can use the average growth rate:
_x000D_
_x000D_Average monthly growth rate = \(\frac{2.38 + 4.65 + 4.44 + 4.26 + 6.12 - 1.92 + 5.88 + 3.70 + 5.36 + 5.08 + 12.90}{11} = 4.72\%\)
_x000D_
_x000D_- **Forecast Jan**: \(700 \times (1 + 4.72\%) = 733.04\)
_x000D_- **Forecast Feb**: \(733.04 \times (1 + 4.72\%) = 767.61\)
_x000D_- **Forecast Mar**: \(767.61 \times (1 + 4.72\%) = 803.81\)
_x000D_
_x000D_### 3) Identify the Strongest Growth Period and Potential Business Factors
_x000D_
_x000D_The strongest growth period is from November to December, with a growth rate of 12.90%. 
_x000D_
_x000D_**Potential Business Factors:**
_x000D_- **Seasonality**: December often sees increased consumer spending due to the holiday season.
_x000D_- **Promotional Activities**: Possible year-end promotions or sales.
_x000D_- **New Product Launches**: Introduction of new products or services could boost sales.
_x000D_- **Market Expansion**: Entry into new markets or customer segments.
_x000D_
_x000D_### 4) Actionable Recommendations for Sustaining Growth
_x000D_
_x000D_- **Leverage Seasonality**: Plan promotions and marketing campaigns around peak seasons to maximize revenue.
_x000D_- **Diversify Product Offerings**: Introduce new products or services that complement existing offerings.
_x000D_- **Enhance Customer Engagement**: Use targeted marketing strategies to increase customer loyalty and repeat purchases.
_x000D_- **Expand Market Reach**: Explore new geographical markets or demographic segments.
_x000D_- **Optimize Operations**: Improve supply chain efficiency to meet increased demand without compromising on quality.
_x000D_
_x000D_By focusing on these strategies, the business can aim to maintain and even accelerate its growth trajectory.</v>
      </c>
    </row>
    <row r="28" spans="1:4" ht="18" customHeight="1" x14ac:dyDescent="0.2">
      <c r="A28" s="60"/>
      <c r="B28" s="61"/>
      <c r="C28" s="73"/>
    </row>
    <row r="30" spans="1:4" s="43" customFormat="1" ht="22" x14ac:dyDescent="0.3">
      <c r="A30" s="54" t="s">
        <v>64</v>
      </c>
      <c r="B30" s="42" t="s">
        <v>65</v>
      </c>
      <c r="C30" s="74"/>
      <c r="D30" s="62"/>
    </row>
    <row r="31" spans="1:4" s="51" customFormat="1" ht="16" x14ac:dyDescent="0.2">
      <c r="A31" s="56" t="s">
        <v>66</v>
      </c>
      <c r="B31" s="63" t="s">
        <v>67</v>
      </c>
      <c r="C31" s="64" t="s">
        <v>68</v>
      </c>
      <c r="D31" s="56" t="s">
        <v>69</v>
      </c>
    </row>
    <row r="32" spans="1:4" x14ac:dyDescent="0.2">
      <c r="A32" s="57" t="s">
        <v>70</v>
      </c>
      <c r="B32" s="57">
        <v>4.2</v>
      </c>
      <c r="C32" s="67">
        <v>1250</v>
      </c>
      <c r="D32" s="65">
        <v>8.5000000000000006E-2</v>
      </c>
    </row>
    <row r="33" spans="1:6" x14ac:dyDescent="0.2">
      <c r="A33" s="57" t="s">
        <v>71</v>
      </c>
      <c r="B33" s="57">
        <v>3.8</v>
      </c>
      <c r="C33" s="67">
        <v>980</v>
      </c>
      <c r="D33" s="65">
        <v>0.152</v>
      </c>
    </row>
    <row r="34" spans="1:6" x14ac:dyDescent="0.2">
      <c r="A34" s="57" t="s">
        <v>72</v>
      </c>
      <c r="B34" s="57">
        <v>4.5</v>
      </c>
      <c r="C34" s="67">
        <v>760</v>
      </c>
      <c r="D34" s="65">
        <v>5.2999999999999999E-2</v>
      </c>
    </row>
    <row r="35" spans="1:6" x14ac:dyDescent="0.2">
      <c r="A35" s="57" t="s">
        <v>73</v>
      </c>
      <c r="B35" s="57">
        <v>4.7</v>
      </c>
      <c r="C35" s="67">
        <v>540</v>
      </c>
      <c r="D35" s="65">
        <v>2.1000000000000001E-2</v>
      </c>
    </row>
    <row r="36" spans="1:6" x14ac:dyDescent="0.2">
      <c r="A36" s="57" t="s">
        <v>74</v>
      </c>
      <c r="B36" s="57">
        <v>4.0999999999999996</v>
      </c>
      <c r="C36" s="67">
        <v>620</v>
      </c>
      <c r="D36" s="65">
        <v>6.8000000000000005E-2</v>
      </c>
    </row>
    <row r="37" spans="1:6" x14ac:dyDescent="0.2">
      <c r="A37" s="57" t="s">
        <v>75</v>
      </c>
      <c r="B37" s="57">
        <v>3.9</v>
      </c>
      <c r="C37" s="67">
        <v>890</v>
      </c>
      <c r="D37" s="65">
        <v>0.124</v>
      </c>
    </row>
    <row r="38" spans="1:6" x14ac:dyDescent="0.2">
      <c r="A38" s="57" t="s">
        <v>76</v>
      </c>
      <c r="B38" s="57">
        <v>4.3</v>
      </c>
      <c r="C38" s="67">
        <v>450</v>
      </c>
      <c r="D38" s="65">
        <v>7.9000000000000001E-2</v>
      </c>
    </row>
    <row r="41" spans="1:6" ht="16" x14ac:dyDescent="0.2">
      <c r="A41" s="66" t="s">
        <v>59</v>
      </c>
      <c r="B41" s="66" t="s">
        <v>58</v>
      </c>
      <c r="C41" s="72" t="s">
        <v>60</v>
      </c>
    </row>
    <row r="42" spans="1:6" ht="408" customHeight="1" x14ac:dyDescent="0.2">
      <c r="A42" s="59" t="s">
        <v>61</v>
      </c>
      <c r="B42" s="59" t="s">
        <v>77</v>
      </c>
      <c r="C42" s="67" t="str" cm="1">
        <f t="array" ref="C42">AI_Analyse($B$3, A31:D38, B42)</f>
        <v>To analyze and compare the product categories based on the given data, we can look at several key metrics: average rating, review count, and return rate. Here's an overview of each category:
_x000D_
_x000D_1. **Electronics**
_x000D_   - Avg Rating: 4.2
_x000D_   - Review Count: 1250
_x000D_   - Return Rate: 0.085
_x000D_
_x000D_   Electronics have a relatively high average rating and the highest number of reviews, suggesting popularity and customer engagement. The return rate is moderate.
_x000D_
_x000D_2. **Clothing**
_x000D_   - Avg Rating: 3.8
_x000D_   - Review Count: 980
_x000D_   - Return Rate: 0.152
_x000D_
_x000D_   Clothing has the lowest average rating among the categories and a relatively high return rate, indicating potential issues with customer satisfaction or product fit.
_x000D_
_x000D_3. **Home and Kitchen**
_x000D_   - Avg Rating: 4.5
_x000D_   - Review Count: 760
_x000D_   - Return Rate: 0.053
_x000D_
_x000D_   This category boasts a high average rating and a low return rate, suggesting high customer satisfaction and product quality.
_x000D_
_x000D_4. **Books**
_x000D_   - Avg Rating: 4.7
_x000D_   - Review Count: 540
_x000D_   - Return Rate: 0.021
_x000D_
_x000D_   Books have the highest average rating and the lowest return rate, indicating excellent customer satisfaction and low likelihood of returns, possibly due to the nature of the product.
_x000D_
_x000D_5. **Sports**
_x000D_   - Avg Rating: 4.1
_x000D_   - Review Count: 620
_x000D_   - Return Rate: 0.068
_x000D_
_x000D_   Sports products have a good average rating and a moderate return rate, indicating generally positive customer experiences.
_x000D_
_x000D_6. **Beauty**
_x000D_   - Avg Rating: 3.9
_x000D_   - Review Count: 890
_x000D_   - Return Rate: 0.124
_x000D_
_x000D_   Beauty products have a slightly below-average rating and a high return rate, which could suggest issues with product performance or customer expectations.
_x000D_
_x000D_7. **Toys**
_x000D_   - Avg Rating: 4.3
_x000D_   - Review Count: 450
_x000D_   - Return Rate: 0.079
_x000D_
_x000D_   Toys have a strong average rating and a moderate return rate, indicating positive customer feedback and satisfaction.
_x000D_
_x000D_**Summary:**
_x000D_- **Highest Rated:** Books (4.7)
_x000D_- **Lowest Rated:** Clothing (3.8)
_x000D_- **Most Reviewed:** Electronics (1250 reviews)
_x000D_- **Least Reviewed:** Toys (450 reviews)
_x000D_- **Lowest Return Rate:** Books (0.021)
_x000D_- **Highest Return Rate:** Clothing (0.152)
_x000D_
_x000D_**Insights:**
_x000D_- Books stand out for their high ratings and low returns, suggesting high satisfaction and product quality.
_x000D_- Clothing may need improvement in quality or sizing accuracy due to its low ratings and high return rate.
_x000D_- Electronics are popular and well-reviewed but could benefit from a lower return rate.
_x000D_- Home and Kitchen products are highly rated with a low return rate, indicating strong customer satisfaction.
_x000D_- Beauty and Clothing categories might need attention due to their lower ratings and higher return rates.</v>
      </c>
    </row>
    <row r="43" spans="1:6" ht="408" customHeight="1" x14ac:dyDescent="0.2">
      <c r="A43" s="59" t="s">
        <v>62</v>
      </c>
      <c r="B43" s="59" t="s">
        <v>78</v>
      </c>
      <c r="C43" s="67" t="str" cm="1">
        <f t="array" ref="C43">AI_Analyse($B$3, A31:D38, B43)</f>
        <v>To analyze customer satisfaction across the different product categories, we can look at the average ratings, review counts, and return rates for each category. Here's a breakdown of the analysis:
_x000D_
_x000D_### Highest and Lowest Ratings:
_x000D_
_x000D_1. **Highest Ratings:**
_x000D_   - **Books**: With an average rating of 4.7, the Books category has the highest customer satisfaction.
_x000D_   - **Home and Kitchen**: This category follows closely with an average rating of 4.5.
_x000D_
_x000D_2. **Lowest Ratings:**
_x000D_   - **Clothing**: This category has the lowest average rating of 3.8, indicating lower customer satisfaction compared to other categories.
_x000D_   - **Beauty**: The Beauty category has an average rating of 3.9, which is relatively low as well.
_x000D_
_x000D_### Relationship Between Review Count and Rating:
_x000D_
_x000D_To examine the relationship between review count and average rating, we can observe the data:
_x000D_
_x000D_- **Electronics**: High review count (1250) with a decent rating (4.2).
_x000D_- **Clothing**: High review count (980) but the lowest rating (3.8).
_x000D_- **Home and Kitchen**: Moderate review count (760) with a high rating (4.5).
_x000D_- **Books**: Lower review count (540) but the highest rating (4.7).
_x000D_- **Sports**: Moderate review count (620) with a good rating (4.1).
_x000D_- **Beauty**: High review count (890) with a relatively low rating (3.9).
_x000D_- **Toys**: Lower review count (450) with a good rating (4.3).
_x000D_
_x000D_From this data, we can observe that:
_x000D_
_x000D_- A higher review count does not necessarily correlate with a higher average rating. For example, the Clothing category has a high review count but the lowest rating.
_x000D_- Categories with lower review counts, such as Books and Toys, have some of the highest ratings.
_x000D_- The Electronics category, with the highest review count, has a good but not the highest rating.
_x000D_
_x000D_### Additional Observations:
_x000D_
_x000D_- **Return Rate**: Books and Home and Kitchen have the lowest return rates, which aligns with their high ratings, possibly indicating higher customer satisfaction and fewer issues with the products.
_x000D_- **Clothing and Beauty**: These categories have higher return rates and lower ratings, suggesting potential quality or fit issues that could be affecting customer satisfaction.
_x000D_
_x000D_### Conclusion:
_x000D_
_x000D_- The Books category stands out as having the highest customer satisfaction based on ratings and return rates.
_x000D_- Clothing has the lowest satisfaction, which is reflected in its low rating and high return rate.
_x000D_- There is no clear linear relationship between review count and average rating, suggesting that other factors, such as product quality or customer expectations, might play a more significant role in determining customer satisfaction.</v>
      </c>
    </row>
    <row r="44" spans="1:6" ht="409.6" x14ac:dyDescent="0.2">
      <c r="A44" s="59" t="s">
        <v>63</v>
      </c>
      <c r="B44" s="59" t="s">
        <v>79</v>
      </c>
      <c r="C44" s="59" t="str" cm="1">
        <f t="array" ref="C44">AI_Analyse($B$3, A31:D38, B44)</f>
        <v>To conduct a multi-dimensional customer satisfaction analysis, we will address each requirement systematically:
_x000D_
_x000D_### 1) Rank Categories by Overall Satisfaction
_x000D_
_x000D_To rank the categories by overall satisfaction, we will consider both the average rating and the return rate. A higher rating and a lower return rate indicate higher satisfaction.
_x000D_
_x000D_- **Books**: Avg Rating = 4.7, Return Rate = 0.021
_x000D_- **Home and Kitchen**: Avg Rating = 4.5, Return Rate = 0.053
_x000D_- **Toys**: Avg Rating = 4.3, Return Rate = 0.079
_x000D_- **Electronics**: Avg Rating = 4.2, Return Rate = 0.085
_x000D_- **Sports**: Avg Rating = 4.1, Return Rate = 0.068
_x000D_- **Beauty**: Avg Rating = 3.9, Return Rate = 0.124
_x000D_- **Clothing**: Avg Rating = 3.8, Return Rate = 0.152
_x000D_
_x000D_**Rankings:**
_x000D_1. Books
_x000D_2. Home and Kitchen
_x000D_3. Toys
_x000D_4. Sports
_x000D_5. Electronics
_x000D_6. Beauty
_x000D_7. Clothing
_x000D_
_x000D_### 2) Correlation Analysis
_x000D_
_x000D_To identify the correlation between review volume, ratings, and return rates:
_x000D_
_x000D_- **Review Volume vs. Rating**: Categories with higher review volumes do not necessarily have higher ratings. For example, Electronics has a high review count but a moderate rating.
_x000D_- **Review Volume vs. Return Rate**: There is no clear pattern between review volume and return rates. For example, Clothing has a relatively high review count and a high return rate.
_x000D_- **Rating vs. Return Rate**: Generally, categories with higher ratings tend to have lower return rates (e.g., Books and Home and Kitchen).
_x000D_
_x000D_### 3) Flag High-Risk and Opportunity Categories
_x000D_
_x000D_- **High-Risk Categories (Low Rating + High Returns):**
_x000D_  - **Clothing**: Avg Rating = 3.8, Return Rate = 0.152
_x000D_  - **Beauty**: Avg Rating = 3.9, Return Rate = 0.124
_x000D_
_x000D_- **Opportunity Categories (High Rating + Many Reviews):**
_x000D_  - **Electronics**: Avg Rating = 4.2, Review Count = 1250
_x000D_  - **Home and Kitchen**: Avg Rating = 4.5, Review Count = 760
_x000D_
_x000D_### 4) Action Items for Bottom 3 Performing Categories
_x000D_
_x000D_**Clothing:**
_x000D_- **Improve Quality Control**: Conduct a thorough review of manufacturing and material quality to reduce defects and returns.
_x000D_- **Customer Feedback Loop**: Implement a system to gather detailed feedback from customers about specific issues leading to dissatisfaction.
_x000D_- **Size and Fit Accuracy**: Enhance the accuracy of size charts and provide detailed fit information to reduce returns due to sizing issues.
_x000D_
_x000D_**Beauty:**
_x000D_- **Product Information Enhancement**: Ensure that product descriptions are accurate and comprehensive, detailing ingredients and usage instructions.
_x000D_- **Sample Programs**: Introduce sample programs to allow customers to try products before committing to full-sized purchases.
_x000D_- **Customer Education**: Provide tutorials and usage guides to help customers understand how to use the products effectively.
_x000D_
_x000D_**Electronics:**
_x000D_- **Technical Support and Guidance**: Enhance customer support with tutorials, FAQs, and troubleshooting guides to assist customers in using products correctly.
_x000D_- **Durability and Functionality Testing**: Conduct rigorous testing to ensure product durability and functionality, reducing returns due to technical issues.
_x000D_- **Warranty and Return Policies**: Review and potentially extend warranty and return policies to build customer trust and satisfaction.
_x000D_
_x000D_By addressing these action items, the bottom-performing categories can improve customer satisfaction and reduce return rates.</v>
      </c>
    </row>
    <row r="47" spans="1:6" s="43" customFormat="1" ht="22" x14ac:dyDescent="0.3">
      <c r="A47" s="54" t="s">
        <v>80</v>
      </c>
      <c r="B47" s="42" t="s">
        <v>81</v>
      </c>
      <c r="C47" s="74"/>
      <c r="D47" s="62"/>
      <c r="E47" s="62"/>
      <c r="F47" s="62"/>
    </row>
    <row r="48" spans="1:6" s="52" customFormat="1" ht="16" x14ac:dyDescent="0.2">
      <c r="A48" s="56" t="s">
        <v>82</v>
      </c>
      <c r="B48" s="56" t="s">
        <v>88</v>
      </c>
      <c r="C48" s="64" t="s">
        <v>89</v>
      </c>
      <c r="D48" s="56" t="s">
        <v>90</v>
      </c>
      <c r="E48" s="56" t="s">
        <v>91</v>
      </c>
      <c r="F48" s="56" t="s">
        <v>92</v>
      </c>
    </row>
    <row r="49" spans="1:6" s="53" customFormat="1" x14ac:dyDescent="0.2">
      <c r="A49" s="57" t="s">
        <v>83</v>
      </c>
      <c r="B49" s="57">
        <v>850000</v>
      </c>
      <c r="C49" s="67">
        <v>920000</v>
      </c>
      <c r="D49" s="57">
        <v>780000</v>
      </c>
      <c r="E49" s="57">
        <v>1050000</v>
      </c>
      <c r="F49" s="57">
        <v>950000</v>
      </c>
    </row>
    <row r="50" spans="1:6" s="53" customFormat="1" x14ac:dyDescent="0.2">
      <c r="A50" s="57" t="s">
        <v>84</v>
      </c>
      <c r="B50" s="57">
        <v>720000</v>
      </c>
      <c r="C50" s="67">
        <v>680000</v>
      </c>
      <c r="D50" s="57">
        <v>750000</v>
      </c>
      <c r="E50" s="57">
        <v>890000</v>
      </c>
      <c r="F50" s="57">
        <v>800000</v>
      </c>
    </row>
    <row r="51" spans="1:6" s="53" customFormat="1" x14ac:dyDescent="0.2">
      <c r="A51" s="57" t="s">
        <v>85</v>
      </c>
      <c r="B51" s="57">
        <v>620000</v>
      </c>
      <c r="C51" s="67">
        <v>710000</v>
      </c>
      <c r="D51" s="57">
        <v>890000</v>
      </c>
      <c r="E51" s="57">
        <v>940000</v>
      </c>
      <c r="F51" s="57">
        <v>750000</v>
      </c>
    </row>
    <row r="52" spans="1:6" s="53" customFormat="1" x14ac:dyDescent="0.2">
      <c r="A52" s="57" t="s">
        <v>86</v>
      </c>
      <c r="B52" s="57">
        <v>380000</v>
      </c>
      <c r="C52" s="67">
        <v>420000</v>
      </c>
      <c r="D52" s="57">
        <v>450000</v>
      </c>
      <c r="E52" s="57">
        <v>520000</v>
      </c>
      <c r="F52" s="57">
        <v>450000</v>
      </c>
    </row>
    <row r="53" spans="1:6" s="53" customFormat="1" x14ac:dyDescent="0.2">
      <c r="A53" s="57" t="s">
        <v>87</v>
      </c>
      <c r="B53" s="57">
        <v>290000</v>
      </c>
      <c r="C53" s="67">
        <v>310000</v>
      </c>
      <c r="D53" s="57">
        <v>340000</v>
      </c>
      <c r="E53" s="57">
        <v>380000</v>
      </c>
      <c r="F53" s="57">
        <v>350000</v>
      </c>
    </row>
    <row r="55" spans="1:6" ht="16" x14ac:dyDescent="0.2">
      <c r="A55" s="66" t="s">
        <v>59</v>
      </c>
      <c r="B55" s="66" t="s">
        <v>58</v>
      </c>
      <c r="C55" s="72" t="s">
        <v>60</v>
      </c>
    </row>
    <row r="56" spans="1:6" ht="409.6" x14ac:dyDescent="0.2">
      <c r="A56" s="59" t="s">
        <v>61</v>
      </c>
      <c r="B56" s="59" t="s">
        <v>93</v>
      </c>
      <c r="C56" s="59" t="str" cm="1">
        <f t="array" ref="C56">AI_Analyse($B$3, A48:F53, B56)</f>
        <v>Here's a summary of sales by region based on the provided data:
_x000D_
_x000D_1. **North America**
_x000D_   - Q1 Sales: 850,000
_x000D_   - Q2 Sales: 920,000
_x000D_   - Q3 Sales: 780,000
_x000D_   - Q4 Sales: 1,050,000
_x000D_   - Total Sales: 3,600,000
_x000D_   - Sales Target: 950,000
_x000D_
_x000D_2. **Europe**
_x000D_   - Q1 Sales: 720,000
_x000D_   - Q2 Sales: 680,000
_x000D_   - Q3 Sales: 750,000
_x000D_   - Q4 Sales: 890,000
_x000D_   - Total Sales: 3,040,000
_x000D_   - Sales Target: 800,000
_x000D_
_x000D_3. **Asia Pacific**
_x000D_   - Q1 Sales: 620,000
_x000D_   - Q2 Sales: 710,000
_x000D_   - Q3 Sales: 890,000
_x000D_   - Q4 Sales: 940,000
_x000D_   - Total Sales: 3,160,000
_x000D_   - Sales Target: 750,000
_x000D_
_x000D_4. **Latin America**
_x000D_   - Q1 Sales: 380,000
_x000D_   - Q2 Sales: 420,000
_x000D_   - Q3 Sales: 450,000
_x000D_   - Q4 Sales: 520,000
_x000D_   - Total Sales: 1,770,000
_x000D_   - Sales Target: 450,000
_x000D_
_x000D_5. **Middle East**
_x000D_   - Q1 Sales: 290,000
_x000D_   - Q2 Sales: 310,000
_x000D_   - Q3 Sales: 340,000
_x000D_   - Q4 Sales: 380,000
_x000D_   - Total Sales: 1,320,000
_x000D_   - Sales Target: 350,000
_x000D_
_x000D_**Key Observations:**
_x000D_- North America had the highest total sales among all regions, with a total of 3,600,000, significantly surpassing its sales target.
_x000D_- Asia Pacific also exceeded its sales target by a large margin, with a total of 3,160,000.
_x000D_- Europe met its sales target with a total of 3,040,000.
_x000D_- Latin America and the Middle East both achieved their sales targets, with total sales of 1,770,000 and 1,320,000, respectively.</v>
      </c>
    </row>
    <row r="57" spans="1:6" ht="409.6" x14ac:dyDescent="0.2">
      <c r="A57" s="59" t="s">
        <v>62</v>
      </c>
      <c r="B57" s="59" t="s">
        <v>94</v>
      </c>
      <c r="C57" s="59" t="str" cm="1">
        <f t="array" ref="C57">AI_Analyse($B$3, A48:F53, B57)</f>
        <v>To analyze the quarterly sales performance across the regions, we will first calculate the total annual sales for each region. Then, we'll compare these totals to their respective sales targets to determine which regions met their targets. Finally, we'll identify the best and worst performing quarters based on the sales figures.
_x000D_
_x000D_### Total Annual Sales per Region
_x000D_
_x000D_1. **North America:**
_x000D_   - Q1: 850,000
_x000D_   - Q2: 920,000
_x000D_   - Q3: 780,000
_x000D_   - Q4: 1,050,000
_x000D_   - **Total Annual Sales:** 850,000 + 920,000 + 780,000 + 1,050,000 = 3,600,000
_x000D_
_x000D_2. **Europe:**
_x000D_   - Q1: 720,000
_x000D_   - Q2: 680,000
_x000D_   - Q3: 750,000
_x000D_   - Q4: 890,000
_x000D_   - **Total Annual Sales:** 720,000 + 680,000 + 750,000 + 890,000 = 3,040,000
_x000D_
_x000D_3. **Asia Pacific:**
_x000D_   - Q1: 620,000
_x000D_   - Q2: 710,000
_x000D_   - Q3: 890,000
_x000D_   - Q4: 940,000
_x000D_   - **Total Annual Sales:** 620,000 + 710,000 + 890,000 + 940,000 = 3,160,000
_x000D_
_x000D_4. **Latin America:**
_x000D_   - Q1: 380,000
_x000D_   - Q2: 420,000
_x000D_   - Q3: 450,000
_x000D_   - Q4: 520,000
_x000D_   - **Total Annual Sales:** 380,000 + 420,000 + 450,000 + 520,000 = 1,770,000
_x000D_
_x000D_5. **Middle East:**
_x000D_   - Q1: 290,000
_x000D_   - Q2: 310,000
_x000D_   - Q3: 340,000
_x000D_   - Q4: 380,000
_x000D_   - **Total Annual Sales:** 290,000 + 310,000 + 340,000 + 380,000 = 1,320,000
_x000D_
_x000D_### Regions Meeting Sales Targets
_x000D_
_x000D_- **North America:** Target = 950,000; Total = 3,600,000 (Met)
_x000D_- **Europe:** Target = 800,000; Total = 3,040,000 (Met)
_x000D_- **Asia Pacific:** Target = 750,000; Total = 3,160,000 (Met)
_x000D_- **Latin America:** Target = 450,000; Total = 1,770,000 (Met)
_x000D_- **Middle East:** Target = 350,000; Total = 1,320,000 (Met)
_x000D_
_x000D_All regions met their sales targets for the year.
_x000D_
_x000D_### Best and Worst Performing Quarters
_x000D_
_x000D_To find the best and worst performing quarters, we sum the sales for each quarter across all regions:
_x000D_
_x000D_- **Q1 Total Sales:** 850,000 + 720,000 + 620,000 + 380,000 + 290,000 = 2,860,000
_x000D_- **Q2 Total Sales:** 920,000 + 680,000 + 710,000 + 420,000 + 310,000 = 3,040,000
_x000D_- **Q3 Total Sales:** 780,000 + 750,000 + 890,000 + 450,000 + 340,000 = 3,210,000
_x000D_- **Q4 Total Sales:** 1,050,000 + 890,000 + 940,000 + 520,000 + 380,000 = 3,780,000
_x000D_
_x000D_- **Best Performing Quarter:** Q4 with total sales of 3,780,000
_x000D_- **Worst Performing Quarter:** Q1 with total sales of 2,860,000
_x000D_
_x000D_### Summary
_x000D_
_x000D_- All regions met their annual sales targets.
_x000D_- The best performing quarter was Q4, while the worst was Q1.</v>
      </c>
    </row>
    <row r="58" spans="1:6" ht="409.6" x14ac:dyDescent="0.2">
      <c r="A58" s="59" t="s">
        <v>63</v>
      </c>
      <c r="B58" s="59" t="s">
        <v>95</v>
      </c>
      <c r="C58" s="59" t="str" cm="1">
        <f t="array" ref="C58">AI_Analyse($B$3, A48:F53, B58)</f>
        <v>To execute a comprehensive regional performance analysis, let's break down the tasks step by step:
_x000D_
_x000D_### 1) Calculate Quarterly Growth Rates and Identify Momentum Trends for Each Region
_x000D_
_x000D_**Quarterly Growth Rate Formula:**
_x000D_\[ \text{Growth Rate} = \left( \frac{\text{Current Quarter Sales} - \text{Previous Quarter Sales}}{\text{Previous Quarter Sales}} \right) \times 100 \]
_x000D_
_x000D_**North America:**
_x000D_- Q1 to Q2: \((920,000 - 850,000) / 850,000 \times 100 = 8.24\%\)
_x000D_- Q2 to Q3: \((780,000 - 920,000) / 920,000 \times 100 = -15.22\%\)
_x000D_- Q3 to Q4: \((1,050,000 - 780,000) / 780,000 \times 100 = 34.62\%\)
_x000D_
_x000D_**Europe:**
_x000D_- Q1 to Q2: \((680,000 - 720,000) / 720,000 \times 100 = -5.56\%\)
_x000D_- Q2 to Q3: \((750,000 - 680,000) / 680,000 \times 100 = 10.29\%\)
_x000D_- Q3 to Q4: \((890,000 - 750,000) / 750,000 \times 100 = 18.67\%\)
_x000D_
_x000D_**Asia Pacific:**
_x000D_- Q1 to Q2: \((710,000 - 620,000) / 620,000 \times 100 = 14.52\%\)
_x000D_- Q2 to Q3: \((890,000 - 710,000) / 710,000 \times 100 = 25.35\%\)
_x000D_- Q3 to Q4: \((940,000 - 890,000) / 890,000 \times 100 = 5.62\%\)
_x000D_
_x000D_**Latin America:**
_x000D_- Q1 to Q2: \((420,000 - 380,000) / 380,000 \times 100 = 10.53\%\)
_x000D_- Q2 to Q3: \((450,000 - 420,000) / 420,000 \times 100 = 7.14\%\)
_x000D_- Q3 to Q4: \((520,000 - 450,000) / 450,000 \times 100 = 15.56\%\)
_x000D_
_x000D_**Middle East:**
_x000D_- Q1 to Q2: \((310,000 - 290,000) / 290,000 \times 100 = 6.90\%\)
_x000D_- Q2 to Q3: \((340,000 - 310,000) / 310,000 \times 100 = 9.68\%\)
_x000D_- Q3 to Q4: \((380,000 - 340,000) / 340,000 \times 100 = 11.76\%\)
_x000D_
_x000D_### 2) Determine Which Regions Exceeded/Missed Annual Targets and by What Percentage
_x000D_
_x000D_**Annual Sales Calculation:**
_x000D_- North America: \(850,000 + 920,000 + 780,000 + 1,050,000 = 3,600,000\)
_x000D_- Europe: \(720,000 + 680,000 + 750,000 + 890,000 = 3,040,000\)
_x000D_- Asia Pacific: \(620,000 + 710,000 + 890,000 + 940,000 = 3,160,000\)
_x000D_- Latin America: \(380,000 + 420,000 + 450,000 + 520,000 = 1,770,000\)
_x000D_- Middle East: \(290,000 + 310,000 + 340,000 + 380,000 = 1,320,000\)
_x000D_
_x000D_**Performance Against Target:**
_x000D_- North America: \((3,600,000 - 950,000 \times 4) / (950,000 \times 4) \times 100 = 5.26\%\) above target
_x000D_- Europe: \((3,040,000 - 800,000 \times 4) / (800,000 \times 4) \times 100 = -5.00\%\) below target
_x000D_- Asia Pacific: \((3,160,000 - 750,000 \times 4) / (750,000 \times 4) \times 100 = 5.33\%\) above target
_x000D_- Latin America: \((1,770,000 - 450,000 \times 4) / (450,000 \times 4) \times 100 = -1.67\%\) below target
_x000D_- Middle East: \((1,320,000 - 350,000 \times 4) / (350,000 \times 4) \times 100 = -5.71\%\) below target
_x000D_
_x000D_### 3) Identify the Fastest-Growing Region and Analyze Its Quarterly Trajectory
_x000D_
_x000D_The fastest-growing region based on annual growth and quarterly performance is **Asia Pacific**:
_x000D_- Strong growth in Q2 and Q3, indicating robust expansion.
_x000D_- Growth rates: 14.52% (Q1 to Q2), 25.35% (Q2 to Q3), 5.62% (Q3 to Q4).
_x000D_
_x000D_### 4) Detect Any Concerning Downward Trends
_x000D_
_x000D_- **North America** faced a significant decline from Q2 to Q3 (-15.22%).
_x000D_- **Europe** had a decline from Q1 to Q2 (-5.56%).
_x000D_
_x000D_### 5) Provide Strategic Recommendations for Resource Allocation
_x000D_
_x000D_**High-Growth Markets:**
_x000D_- **Asia Pacific**: Continue investment to capitalize on strong growth momentum. Focus on expanding market presence and enhancing product offerings.
_x000D_
_x000D_**Turnaround Strategies for Underperforming Regions:**
_x000D_- **Europe**: Investigate reasons for underperformance in Q2 and implement targeted marketing and sales strategies to recover market share.
_x000D_- **Latin America**: Consider strategic partnerships or localized marketing to boost sales and align with growth targets.
_x000D_- **Middle East**: Evaluate market conditions and customer needs to tailor offerings and improve sales performance. Potentially increase marketing efforts or product adaptation.
_x000D_
_x000D_**Overall Strategy:**
_x000D_- Allocate more resources to high-growth regions like Asia Pacific to maximize returns.
_x000D_- Implement targeted interventions in underperforming regions to address specific challenges and improve performance.</v>
      </c>
    </row>
  </sheetData>
  <pageMargins left="0.7" right="0.7" top="0.75" bottom="0.75" header="0.3" footer="0.3"/>
</worksheet>
</file>

<file path=docMetadata/LabelInfo.xml><?xml version="1.0" encoding="utf-8"?>
<clbl:labelList xmlns:clbl="http://schemas.microsoft.com/office/2020/mipLabelMetadata">
  <clbl:label id="{a8eec281-aaa3-4dae-ac9b-9a398b9215e7}" enabled="0" method="" siteId="{a8eec281-aaa3-4dae-ac9b-9a398b9215e7}"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Intro</vt:lpstr>
      <vt:lpstr>AI_Reply</vt:lpstr>
      <vt:lpstr>Assignment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Dehghani, Mohammad</dc:creator>
  <cp:keywords/>
  <dc:description/>
  <cp:lastModifiedBy>Simran Abhay Sinha</cp:lastModifiedBy>
  <cp:revision/>
  <dcterms:created xsi:type="dcterms:W3CDTF">2024-12-05T10:14:48Z</dcterms:created>
  <dcterms:modified xsi:type="dcterms:W3CDTF">2026-02-10T18:48:12Z</dcterms:modified>
  <cp:category/>
  <cp:contentStatus/>
</cp:coreProperties>
</file>